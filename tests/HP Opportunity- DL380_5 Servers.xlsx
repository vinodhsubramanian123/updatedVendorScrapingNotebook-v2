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 &amp; Aspects" sheetId="1" r:id="rId1"/>
    <sheet name="Rank 1 - Rank 1 Straightforw" sheetId="2" r:id="rId2"/>
    <sheet name="Rank 2 - Rank 2 Standardized" sheetId="3" r:id="rId3"/>
    <sheet name="Rank 3 - Rank 3 High-IOPS &amp;" sheetId="4" r:id="rId4"/>
    <sheet name="Rank 4 - Rank 4 Maximum Dens" sheetId="5" r:id="rId5"/>
    <sheet name="Rank 5 - Rank 5 Budget &amp; Cap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$#,##0.00"/>
    <numFmt numFmtId="166" formatCode="$#,##0.00"/>
    <numFmt numFmtId="167" formatCode="$#,##0.00"/>
    <numFmt numFmtId="168" formatCode="$#,##0.00"/>
    <numFmt numFmtId="169" formatCode="$#,##0.00"/>
  </numFmts>
  <fonts count="25" x14ac:knownFonts="1">
    <font>
      <sz val="11"/>
      <name val="Calibri"/>
    </font>
    <font>
      <sz val="11"/>
      <name val="Calibri"/>
    </font>
    <font>
      <sz val="12"/>
      <name val="Segoe UI"/>
      <b/>
      <color rgb="FFFFFF"/>
    </font>
    <font>
      <sz val="10"/>
      <name val="Segoe UI"/>
      <b/>
      <color rgb="FFFFFF"/>
    </font>
    <font>
      <sz val="11"/>
      <name val="Segoe UI"/>
      <b/>
      <color rgb="1E3E62"/>
    </font>
    <font>
      <sz val="10"/>
      <name val="Segoe UI"/>
      <b/>
      <color rgb="FFFFFF"/>
    </font>
    <font>
      <sz val="10"/>
      <name val="Segoe UI"/>
      <b/>
      <color rgb="000000"/>
    </font>
    <font>
      <sz val="10"/>
      <name val="Segoe UI"/>
      <color rgb="000000"/>
    </font>
    <font>
      <sz val="10"/>
      <name val="Segoe UI"/>
      <color rgb="000000"/>
    </font>
    <font>
      <sz val="10"/>
      <name val="Segoe UI"/>
      <b/>
      <color rgb="000000"/>
    </font>
    <font>
      <sz val="10"/>
      <name val="Segoe UI"/>
      <color rgb="000000"/>
    </font>
    <font>
      <sz val="10"/>
      <name val="Segoe UI"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11"/>
      <name val="Segoe UI"/>
      <b/>
      <color rgb="FFFFFF"/>
    </font>
    <font>
      <sz val="9"/>
      <name val="Segoe UI"/>
      <color rgb="FFFFFF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color rgb="000000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FFFFFF"/>
    </font>
  </fonts>
  <fills count="2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192C"/>
        <bgColor/>
      </patternFill>
    </fill>
    <fill>
      <patternFill patternType="solid">
        <fgColor rgb="FF1E3E62"/>
        <bgColor/>
      </patternFill>
    </fill>
    <fill>
      <patternFill patternType="solid">
        <fgColor rgb="FFF4F8F6"/>
        <bgColor/>
      </patternFill>
    </fill>
    <fill>
      <patternFill patternType="solid">
        <fgColor rgb="FF0B192C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B192C"/>
        <bgColor/>
      </patternFill>
    </fill>
    <fill>
      <patternFill patternType="solid">
        <fgColor rgb="FF1E3E6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</borders>
  <cellStyleXfs>
    <xf numFmtId="0" fontId="0" fillId="0" borderId="0"/>
  </cellStyleXfs>
  <cellXfs count="2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left" vertical="center" wrapText="true"/>
    </xf>
    <xf numFmtId="165" fontId="8" fillId="8" borderId="8" xfId="0" applyFont="1" applyFill="1" applyBorder="1" applyNumberFormat="1" applyAlignment="1">
      <alignment horizontal="right" vertical="center" wrapText="true"/>
    </xf>
    <xf numFmtId="0" fontId="9" fillId="9" borderId="9" xfId="0" applyFont="1" applyFill="1" applyBorder="1" applyAlignment="1">
      <alignment horizontal="left" vertical="center" wrapText="true"/>
    </xf>
    <xf numFmtId="0" fontId="10" fillId="10" borderId="10" xfId="0" applyFont="1" applyFill="1" applyBorder="1" applyAlignment="1">
      <alignment horizontal="left" vertical="center" wrapText="true"/>
    </xf>
    <xf numFmtId="166" fontId="11" fillId="11" borderId="11" xfId="0" applyFont="1" applyFill="1" applyBorder="1" applyNumberFormat="1" applyAlignment="1">
      <alignment horizontal="right" vertical="center" wrapText="true"/>
    </xf>
    <xf numFmtId="0" fontId="12" fillId="12" borderId="12" xfId="0" applyFont="1" applyFill="1" applyBorder="1" applyAlignment="1">
      <alignment horizontal="left" vertical="center" wrapText="true"/>
    </xf>
    <xf numFmtId="0" fontId="13" fillId="13" borderId="13" xfId="0" applyFont="1" applyFill="1" applyBorder="1" applyAlignment="1">
      <alignment horizontal="left" vertical="center" wrapText="true"/>
    </xf>
    <xf numFmtId="0" fontId="14" fillId="14" borderId="14" xfId="0" applyFont="1" applyFill="1" applyBorder="1" applyAlignment="1">
      <alignment horizontal="left" vertical="center" wrapText="true"/>
    </xf>
    <xf numFmtId="0" fontId="15" fillId="15" borderId="15" xfId="0" applyFont="1" applyFill="1" applyBorder="1" applyAlignment="1">
      <alignment horizontal="left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horizontal="left"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167" fontId="19" fillId="19" borderId="19" xfId="0" applyFont="1" applyFill="1" applyBorder="1" applyNumberFormat="1" applyAlignment="1">
      <alignment horizontal="right" vertical="center" wrapText="true"/>
    </xf>
    <xf numFmtId="0" fontId="20" fillId="20" borderId="20" xfId="0" applyFont="1" applyFill="1" applyBorder="1" applyAlignment="1">
      <alignment horizontal="center" vertical="center" wrapText="true"/>
    </xf>
    <xf numFmtId="168" fontId="21" fillId="21" borderId="21" xfId="0" applyFont="1" applyFill="1" applyBorder="1" applyNumberFormat="1" applyAlignment="1">
      <alignment horizontal="right" vertical="center" wrapText="true"/>
    </xf>
    <xf numFmtId="0" fontId="22" fillId="22" borderId="22" xfId="0" applyFont="1" applyFill="1" applyBorder="1" applyAlignment="1">
      <alignment horizontal="left" vertical="center" wrapText="true"/>
    </xf>
    <xf numFmtId="0" fontId="23" fillId="23" borderId="23" xfId="0" applyFont="1" applyFill="1" applyBorder="1" applyAlignment="1">
      <alignment horizontal="center" vertical="center" wrapText="true"/>
    </xf>
    <xf numFmtId="169" fontId="24" fillId="24" borderId="24" xfId="0" applyFont="1" applyFill="1" applyBorder="1" applyNumberFormat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cols>
    <col min="1" max="1" width="15.83203125" customWidth="1"/>
    <col min="2" max="2" width="35.83203125" customWidth="1"/>
    <col min="3" max="3" width="24.83203125" customWidth="1"/>
    <col min="4" max="4" width="32.83203125" customWidth="1"/>
    <col min="5" max="5" width="45.83203125" customWidth="1"/>
    <col min="6" max="6" width="35.83203125" customWidth="1"/>
    <col min="7" max="7" width="35.83203125" customWidth="1"/>
    <col min="8" max="8" width="32.83203125" customWidth="1"/>
  </cols>
  <sheetData>
    <row r="1">
      <c r="A1" s="3" t="str">
        <v>HPE PROLIANT AI STUDIO - MULTI-RANK SOLUTION WORKBOOK</v>
      </c>
    </row>
    <row r="2">
      <c r="A2" s="4" t="str">
        <v>Target Platform: DL380a_Gen12 | Scope: 20 Server Node(s) | Evaluation draft; consult individual validation gates</v>
      </c>
    </row>
    <row r="4">
      <c r="A4" s="5" t="str">
        <v>SOLUTION METRICS &amp; EVALUATION STATUS</v>
      </c>
    </row>
    <row r="5">
      <c r="A5" s="2" t="str">
        <v>Target Server / Chassis</v>
      </c>
      <c r="B5" s="2" t="str">
        <v>DL380a_Gen12</v>
      </c>
    </row>
    <row r="6">
      <c r="A6" s="2" t="str">
        <v>Total Server Nodes</v>
      </c>
      <c r="B6" s="2">
        <v>20</v>
      </c>
    </row>
    <row r="7">
      <c r="A7" s="2" t="str">
        <v>Overall Physical Build Status</v>
      </c>
      <c r="B7" s="2" t="str">
        <v>LOCAL_RULE_CHECKED — PORTAL VALIDATION PENDING</v>
      </c>
    </row>
    <row r="8">
      <c r="A8" s="2" t="str">
        <v>Dual-Brain Verification Badge</v>
      </c>
      <c r="B8" s="2" t="str">
        <v>CANDIDATE REVIEW NOT VERIFIED</v>
      </c>
    </row>
    <row r="9">
      <c r="A9" s="2" t="str">
        <v>NotebookLM Knowledge Tier</v>
      </c>
      <c r="B9" s="2" t="str">
        <v>UNVERIFIED_FORBIDDEN_SOURCE</v>
      </c>
    </row>
    <row r="10">
      <c r="A10" s="2" t="str">
        <v>QuickSpecs Citations Verified</v>
      </c>
      <c r="B10" s="2" t="str">
        <v>35 Authoritative Citations</v>
      </c>
    </row>
    <row r="11">
      <c r="A11" s="2" t="str">
        <v>Evaluation Timestamp</v>
      </c>
      <c r="B11" s="2" t="str">
        <v>2026-09-18T09:15:09.613Z</v>
      </c>
    </row>
    <row r="13">
      <c r="A13" s="5" t="str">
        <v>STRATEGY RESOLUTION MATRIX COMPARISON (5 TIERS)</v>
      </c>
    </row>
    <row r="14">
      <c r="A14" s="6" t="str">
        <v>Rank Tier</v>
      </c>
      <c r="B14" s="6" t="str">
        <v>Strategy Name</v>
      </c>
      <c r="C14" s="6" t="str">
        <v>Estimated CapEx (USD)</v>
      </c>
      <c r="D14" s="6" t="str">
        <v>Fix Delta (USD)</v>
      </c>
      <c r="E14" s="6" t="str">
        <v>Intent Alignment</v>
      </c>
      <c r="F14" s="6" t="str">
        <v>Buildability Status</v>
      </c>
    </row>
    <row r="15">
      <c r="A15" s="7" t="str">
        <v>Rank 1</v>
      </c>
      <c r="B15" s="8" t="str">
        <v>Rank 1: Straightforward Winner (100% Valid as Drafted)</v>
      </c>
      <c r="C15" s="9">
        <v>29881860</v>
      </c>
      <c r="D15" s="9">
        <v>0</v>
      </c>
      <c r="E15" s="8" t="str">
        <v>100% (Direct Match)</v>
      </c>
      <c r="F15" s="8" t="str">
        <v>LOCAL_RULE_CHECKED</v>
      </c>
    </row>
    <row r="16">
      <c r="A16" s="10" t="str">
        <v>Rank 2</v>
      </c>
      <c r="B16" s="11" t="str">
        <v>Rank 2: Standardized CTO Baseline &amp; Factory Default Accessories</v>
      </c>
      <c r="C16" s="12">
        <v>29881860</v>
      </c>
      <c r="D16" s="12">
        <v>0</v>
      </c>
      <c r="E16" s="11" t="str">
        <v>95% (Standardized)</v>
      </c>
      <c r="F16" s="11" t="str">
        <v>LOCAL_RULE_CHECKED</v>
      </c>
    </row>
    <row r="17">
      <c r="A17" s="7" t="str">
        <v>Rank 3</v>
      </c>
      <c r="B17" s="8" t="str">
        <v>Rank 3: High-IOPS &amp; Storage Performance Optimized</v>
      </c>
      <c r="C17" s="9">
        <v>29881860</v>
      </c>
      <c r="D17" s="9">
        <v>0</v>
      </c>
      <c r="E17" s="8" t="str">
        <v>90% (Storage Heavy)</v>
      </c>
      <c r="F17" s="8" t="str">
        <v>LOCAL_RULE_CHECKED</v>
      </c>
    </row>
    <row r="18">
      <c r="A18" s="10" t="str">
        <v>Rank 4</v>
      </c>
      <c r="B18" s="11" t="str">
        <v>Rank 4: Maximum Density &amp; Future Scalability Expansion</v>
      </c>
      <c r="C18" s="12">
        <v>29881860</v>
      </c>
      <c r="D18" s="12">
        <v>0</v>
      </c>
      <c r="E18" s="11" t="str">
        <v>85% (Scalability Focused)</v>
      </c>
      <c r="F18" s="11" t="str">
        <v>LOCAL_RULE_CHECKED</v>
      </c>
    </row>
    <row r="19">
      <c r="A19" s="7" t="str">
        <v>Rank 5</v>
      </c>
      <c r="B19" s="8" t="str">
        <v>Rank 5: Budget &amp; CapEx Minimized Buildable Baseline</v>
      </c>
      <c r="C19" s="9">
        <v>29881860</v>
      </c>
      <c r="D19" s="9">
        <v>0</v>
      </c>
      <c r="E19" s="8" t="str">
        <v>80% (Minimal Baseline)</v>
      </c>
      <c r="F19" s="8" t="str">
        <v>LOCAL_RULE_CHECKED</v>
      </c>
    </row>
    <row r="21">
      <c r="A21" s="5" t="str">
        <v>7-ASPECT PHYSICAL INTEGRITY AUDIT</v>
      </c>
    </row>
    <row r="22">
      <c r="A22" s="6" t="str">
        <v>Aspect #</v>
      </c>
      <c r="B22" s="6" t="str">
        <v>Aspect Domain</v>
      </c>
      <c r="C22" s="6" t="str">
        <v>Validation Status</v>
      </c>
      <c r="D22" s="6" t="str">
        <v>Key Technical Rule / Evaluation Finding</v>
      </c>
    </row>
    <row r="23">
      <c r="A23" s="7" t="str">
        <v>Aspect 1</v>
      </c>
      <c r="B23" s="8" t="str">
        <v>Thermal &amp; Compute Math</v>
      </c>
      <c r="C23" s="8" t="str">
        <v>✅ PASS</v>
      </c>
      <c r="D23" s="8" t="str">
        <v>Verified 40 CPUs (2/node) within TDP envelope with DL380a factory-integrated high-performance accelerator cooling architecture.</v>
      </c>
    </row>
    <row r="24">
      <c r="A24" s="10" t="str">
        <v>Aspect 2</v>
      </c>
      <c r="B24" s="11" t="str">
        <v>Memory &amp; Channel Balance</v>
      </c>
      <c r="C24" s="11" t="str">
        <v>✅ PASS</v>
      </c>
      <c r="D24" s="11" t="str">
        <v>Verified 160 DIMMs in supported entry population (8 DIMMs/node, 512GB RAM). Note: Maximum memory interleaving bandwidth is achieved with 8 DIMMs per socket.</v>
      </c>
    </row>
    <row r="25">
      <c r="A25" s="7" t="str">
        <v>Aspect 3</v>
      </c>
      <c r="B25" s="8" t="str">
        <v>Storage &amp; Controller Cabling</v>
      </c>
      <c r="C25" s="8" t="str">
        <v>✅ PASS</v>
      </c>
      <c r="D25" s="8" t="str">
        <v>Verified 60 drives (3/node) and controller configuration.</v>
      </c>
    </row>
    <row r="26">
      <c r="A26" s="10" t="str">
        <v>Aspect 4</v>
      </c>
      <c r="B26" s="11" t="str">
        <v>PCIe Riser &amp; Slot Expansion Math</v>
      </c>
      <c r="C26" s="11" t="str">
        <v>✅ PASS</v>
      </c>
      <c r="D26" s="11" t="str">
        <v>Verified 60 PCIe cards fit within 60 active cabled slots (3 cards/node) plus 160 front-bay accelerator(s) seated on high-speed switchboards.</v>
      </c>
    </row>
    <row r="27">
      <c r="A27" s="7" t="str">
        <v>Aspect 5</v>
      </c>
      <c r="B27" s="8" t="str">
        <v>Networking &amp; OCP Interconnect</v>
      </c>
      <c r="C27" s="8" t="str">
        <v>✅ PASS</v>
      </c>
      <c r="D27" s="8" t="str">
        <v>Verified 80 active network ports (Standard PCIe/LOM NICs).</v>
      </c>
    </row>
    <row r="28">
      <c r="A28" s="10" t="str">
        <v>Aspect 6</v>
      </c>
      <c r="B28" s="11" t="str">
        <v>Power &amp; Redundancy Math</v>
      </c>
      <c r="C28" s="11" t="str">
        <v>✅ PASS</v>
      </c>
      <c r="D28" s="11" t="str">
        <v>Verified power supply and infrastructure dependencies (8 PSUs/node).</v>
      </c>
    </row>
    <row r="29">
      <c r="A29" s="7" t="str">
        <v>Aspect 7</v>
      </c>
      <c r="B29" s="8" t="str">
        <v>Vendor Support Taxonomy &amp; Licensing</v>
      </c>
      <c r="C29" s="8" t="str">
        <v>✅ PASS</v>
      </c>
      <c r="D29" s="8" t="str">
        <v>Verified requested support services and OS core allocations; customer-selected management licensing is present.</v>
      </c>
    </row>
    <row r="31">
      <c r="A31" s="5" t="str">
        <v>DUAL-BRAIN &amp; NOTEBOOKLM COMPREHENSIVE VERIFICATION AUDIT (ALL RANKS)</v>
      </c>
    </row>
    <row r="32">
      <c r="A32" s="6" t="str">
        <v>Rank Tier</v>
      </c>
      <c r="B32" s="6" t="str">
        <v>Strategy Name</v>
      </c>
      <c r="C32" s="6" t="str">
        <v>7-Aspect Physical Math</v>
      </c>
      <c r="D32" s="6" t="str">
        <v>Gemini NotebookLM Badge</v>
      </c>
      <c r="E32" s="6" t="str">
        <v>Agentic Guardrail Trace</v>
      </c>
      <c r="F32" s="6" t="str">
        <v>Multi-Agent / Codex Review</v>
      </c>
      <c r="G32" s="6" t="str">
        <v>Citations &amp; Grounding Reference</v>
      </c>
      <c r="H32" s="6" t="str">
        <v>Knowledge Delta Sync Status</v>
      </c>
    </row>
    <row r="33">
      <c r="A33" s="13" t="str">
        <v>Rank 1</v>
      </c>
      <c r="B33" s="14" t="str">
        <v>Rank 1: Straightforward Winner (100% Valid as Drafted)</v>
      </c>
      <c r="C33" s="14" t="str">
        <v>LOCAL PHYSICAL CHECK PASSED</v>
      </c>
      <c r="D33" s="14" t="str">
        <v>CANDIDATE DOCUMENT REVIEW: UNVERIFIED</v>
      </c>
      <c r="E33" s="14" t="str">
        <v>Customer BOQ is 100% buildable as drafted. Zero additions, removals, or replacements required.</v>
      </c>
      <c r="F33" s="14" t="str">
        <v>Ready for Automated Cross-Verification</v>
      </c>
      <c r="G33" s="14" t="str">
        <v>[]</v>
      </c>
      <c r="H33" s="14" t="str">
        <v>SYNC PENDING</v>
      </c>
    </row>
    <row r="34">
      <c r="A34" s="15" t="str">
        <v>Rank 2</v>
      </c>
      <c r="B34" s="16" t="str">
        <v>Rank 2: Standardized CTO Baseline &amp; Factory Default Accessories</v>
      </c>
      <c r="C34" s="16" t="str">
        <v>LOCAL PHYSICAL CHECK PASSED</v>
      </c>
      <c r="D34" s="16" t="str">
        <v>CANDIDATE DOCUMENT REVIEW: UNVERIFIED</v>
      </c>
      <c r="E34" s="16" t="str">
        <v>Standardizes baseline options with factory default cable and rail accessories for maximum factory assembly stability.</v>
      </c>
      <c r="F34" s="16" t="str">
        <v>Ready for Automated Cross-Verification</v>
      </c>
      <c r="G34" s="16" t="str">
        <v>[]</v>
      </c>
      <c r="H34" s="16" t="str">
        <v>SYNC PENDING</v>
      </c>
    </row>
    <row r="35">
      <c r="A35" s="13" t="str">
        <v>Rank 3</v>
      </c>
      <c r="B35" s="14" t="str">
        <v>Rank 3: High-IOPS &amp; Storage Performance Optimized</v>
      </c>
      <c r="C35" s="14" t="str">
        <v>LOCAL PHYSICAL CHECK PASSED</v>
      </c>
      <c r="D35" s="14" t="str">
        <v>CANDIDATE DOCUMENT REVIEW: UNVERIFIED</v>
      </c>
      <c r="E35" s="14" t="str">
        <v>Upgrades storage write-cache and smart hybrid battery protection for enhanced transactional database read/write IOPS.</v>
      </c>
      <c r="F35" s="14" t="str">
        <v>Ready for Automated Cross-Verification</v>
      </c>
      <c r="G35" s="14" t="str">
        <v>[]</v>
      </c>
      <c r="H35" s="14" t="str">
        <v>SYNC PENDING</v>
      </c>
    </row>
    <row r="36">
      <c r="A36" s="15" t="str">
        <v>Rank 4</v>
      </c>
      <c r="B36" s="16" t="str">
        <v>Rank 4: Maximum Density &amp; Future Scalability Expansion</v>
      </c>
      <c r="C36" s="16" t="str">
        <v>LOCAL PHYSICAL CHECK PASSED</v>
      </c>
      <c r="D36" s="16" t="str">
        <v>CANDIDATE DOCUMENT REVIEW: UNVERIFIED</v>
      </c>
      <c r="E36" s="16" t="str">
        <v>Populates full secondary PCIe riser slots and high-performance fan kits to support future GPU accelerator and 2nd CPU socket expansions.</v>
      </c>
      <c r="F36" s="16" t="str">
        <v>Ready for Automated Cross-Verification</v>
      </c>
      <c r="G36" s="16" t="str">
        <v>[]</v>
      </c>
      <c r="H36" s="16" t="str">
        <v>SYNC PENDING</v>
      </c>
    </row>
    <row r="37">
      <c r="A37" s="13" t="str">
        <v>Rank 5</v>
      </c>
      <c r="B37" s="14" t="str">
        <v>Rank 5: Budget &amp; CapEx Minimized Buildable Baseline</v>
      </c>
      <c r="C37" s="14" t="str">
        <v>LOCAL PHYSICAL CHECK PASSED</v>
      </c>
      <c r="D37" s="14" t="str">
        <v>CANDIDATE DOCUMENT REVIEW: UNVERIFIED</v>
      </c>
      <c r="E37" s="14" t="str">
        <v>Strict baseline buildable tier eliminating all optional add-ons to minimize total CapEx expenditure while remaining 100% buildable.</v>
      </c>
      <c r="F37" s="14" t="str">
        <v>Ready for Automated Cross-Verification</v>
      </c>
      <c r="G37" s="14" t="str">
        <v>[]</v>
      </c>
      <c r="H37" s="14" t="str">
        <v>SYNC PENDING</v>
      </c>
    </row>
  </sheetData>
  <ignoredErrors>
    <ignoredError numberStoredAsText="1" sqref="A1: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cols>
    <col min="1" max="1" width="18.83203125" customWidth="1"/>
    <col min="2" max="2" width="14.83203125" customWidth="1"/>
    <col min="3" max="3" width="15.83203125" customWidth="1"/>
    <col min="4" max="4" width="12.83203125" customWidth="1"/>
    <col min="5" max="5" width="45.83203125" customWidth="1"/>
    <col min="6" max="6" width="22.83203125" customWidth="1"/>
    <col min="7" max="7" width="18.83203125" customWidth="1"/>
    <col min="8" max="8" width="20.83203125" customWidth="1"/>
    <col min="9" max="9" width="45.83203125" customWidth="1"/>
    <col min="10" max="10" width="35.83203125" customWidth="1"/>
    <col min="11" max="11" width="55.83203125" customWidth="1"/>
    <col min="12" max="12" width="25.83203125" customWidth="1"/>
  </cols>
  <sheetData>
    <row r="1">
      <c r="A1" s="17" t="str">
        <v>HPE SOLUTION SPECIFICATION — RANK 1: Rank 1: Straightforward Winner (100% Valid as Drafted)</v>
      </c>
    </row>
    <row r="2">
      <c r="A2" s="18" t="str">
        <v>Estimated CapEx: $2,98,81,860 | Alignment: 100% (Direct Match) | Server Nodes: 20</v>
      </c>
    </row>
    <row r="3">
      <c r="A3" s="6" t="str">
        <v>Part No</v>
      </c>
      <c r="B3" s="6" t="str">
        <v>Per-Node Qty</v>
      </c>
      <c r="C3" s="6" t="str">
        <v>Node Multiplier</v>
      </c>
      <c r="D3" s="6" t="str">
        <v>Total Qty</v>
      </c>
      <c r="E3" s="6" t="str">
        <v>Description</v>
      </c>
      <c r="F3" s="6" t="str">
        <v>Component Role</v>
      </c>
      <c r="G3" s="6" t="str">
        <v>Unit Price (USD)</v>
      </c>
      <c r="H3" s="6" t="str">
        <v>Extended Price (USD)</v>
      </c>
      <c r="I3" s="6" t="str">
        <v>Physical Math &amp; Rule Engine Rationale</v>
      </c>
      <c r="J3" s="6" t="str">
        <v>Gemini NotebookLM Badge</v>
      </c>
      <c r="K3" s="6" t="str">
        <v>Agentic Guardrail &amp; Evals Trace</v>
      </c>
      <c r="L3" s="6" t="str">
        <v>CLIC Status / Rule Trace</v>
      </c>
    </row>
    <row r="4">
      <c r="A4" s="15" t="str">
        <v>P76706-B21</v>
      </c>
      <c r="B4" s="19">
        <v>1</v>
      </c>
      <c r="C4" s="19">
        <v>20</v>
      </c>
      <c r="D4" s="19">
        <f>B4*C4</f>
        <v>20</v>
      </c>
      <c r="E4" s="16" t="str">
        <v>HPE ProLiant Compute DL380a Gen12 8 Double Wide/16 Single Wide Configure-to-order Server</v>
      </c>
      <c r="F4" s="16" t="str">
        <v>Base Chassis</v>
      </c>
      <c r="G4" s="20">
        <v>21407</v>
      </c>
      <c r="H4" s="20">
        <f>D4*G4</f>
        <v>428140</v>
      </c>
      <c r="I4" s="16" t="str">
        <v>Customer specified baseline component</v>
      </c>
      <c r="J4" s="16" t="str">
        <v>CANDIDATE DOCUMENT REVIEW: UNVERIFIED</v>
      </c>
      <c r="K4" s="16" t="str">
        <v>Customer BOQ is 100% buildable as drafted. Zero additions, removals, or replacements required.</v>
      </c>
      <c r="L4" s="16" t="str">
        <v>LOCAL_RULE_CHECKED; PORTAL VALIDATION PENDING</v>
      </c>
    </row>
    <row r="5">
      <c r="A5" s="13" t="str">
        <v>P74571-B21</v>
      </c>
      <c r="B5" s="21">
        <v>2</v>
      </c>
      <c r="C5" s="21">
        <v>20</v>
      </c>
      <c r="D5" s="21">
        <f>B5*C5</f>
        <v>40</v>
      </c>
      <c r="E5" s="14" t="str">
        <v>Intel Xeon 6530P 2.3GHz 32-core 225W Processor for HPE</v>
      </c>
      <c r="F5" s="14" t="str">
        <v>Processor</v>
      </c>
      <c r="G5" s="22">
        <v>6830</v>
      </c>
      <c r="H5" s="22">
        <f>D5*G5</f>
        <v>273200</v>
      </c>
      <c r="I5" s="14" t="str">
        <v>Customer specified baseline component</v>
      </c>
      <c r="J5" s="14" t="str">
        <v>CANDIDATE DOCUMENT REVIEW: UNVERIFIED</v>
      </c>
      <c r="K5" s="14" t="str">
        <v>Customer BOQ is 100% buildable as drafted. Zero additions, removals, or replacements required.</v>
      </c>
      <c r="L5" s="14" t="str">
        <v>LOCAL_RULE_CHECKED; PORTAL VALIDATION PENDING</v>
      </c>
    </row>
    <row r="6">
      <c r="A6" s="15" t="str">
        <v>P69728-F21</v>
      </c>
      <c r="B6" s="19">
        <v>8</v>
      </c>
      <c r="C6" s="19">
        <v>20</v>
      </c>
      <c r="D6" s="19">
        <f>B6*C6</f>
        <v>160</v>
      </c>
      <c r="E6" s="16" t="str">
        <v>HPE 64GB (1x64GB) Dual Rank x4 DDR5-6400 CAS-52-52-52 EC8 Registered Smart FIO Memory Kit</v>
      </c>
      <c r="F6" s="16" t="str">
        <v>Memory</v>
      </c>
      <c r="G6" s="20">
        <v>28532</v>
      </c>
      <c r="H6" s="20">
        <f>D6*G6</f>
        <v>4565120</v>
      </c>
      <c r="I6" s="16" t="str">
        <v>Customer specified baseline component</v>
      </c>
      <c r="J6" s="16" t="str">
        <v>CANDIDATE DOCUMENT REVIEW: UNVERIFIED</v>
      </c>
      <c r="K6" s="16" t="str">
        <v>Customer BOQ is 100% buildable as drafted. Zero additions, removals, or replacements required.</v>
      </c>
      <c r="L6" s="16" t="str">
        <v>LOCAL_RULE_CHECKED; PORTAL VALIDATION PENDING</v>
      </c>
    </row>
    <row r="7">
      <c r="A7" s="13" t="str">
        <v>P74710-B21</v>
      </c>
      <c r="B7" s="21">
        <v>1</v>
      </c>
      <c r="C7" s="21">
        <v>20</v>
      </c>
      <c r="D7" s="21">
        <f>B7*C7</f>
        <v>20</v>
      </c>
      <c r="E7" s="14" t="str">
        <v>HPE ProLiant Compute DL380a Gen12 4SFF FIO Drive Cage Kit</v>
      </c>
      <c r="F7" s="14" t="str">
        <v>Drive Cage / Drive</v>
      </c>
      <c r="G7" s="22">
        <v>372</v>
      </c>
      <c r="H7" s="22">
        <f>D7*G7</f>
        <v>7440</v>
      </c>
      <c r="I7" s="14" t="str">
        <v>Customer specified baseline component</v>
      </c>
      <c r="J7" s="14" t="str">
        <v>CANDIDATE DOCUMENT REVIEW: UNVERIFIED</v>
      </c>
      <c r="K7" s="14" t="str">
        <v>Customer BOQ is 100% buildable as drafted. Zero additions, removals, or replacements required.</v>
      </c>
      <c r="L7" s="14" t="str">
        <v>LOCAL_RULE_CHECKED; PORTAL VALIDATION PENDING</v>
      </c>
    </row>
    <row r="8">
      <c r="A8" s="15" t="str">
        <v>P70436-B21</v>
      </c>
      <c r="B8" s="19">
        <v>2</v>
      </c>
      <c r="C8" s="19">
        <v>20</v>
      </c>
      <c r="D8" s="19">
        <f>B8*C8</f>
        <v>40</v>
      </c>
      <c r="E8" s="16" t="str">
        <v>HPE 15.36TB NVMe Gen4 High Performance Read Intensive SFF BC U.3 PS1010 SSD</v>
      </c>
      <c r="F8" s="16" t="str">
        <v>Drive Cage / Drive</v>
      </c>
      <c r="G8" s="20">
        <v>131585</v>
      </c>
      <c r="H8" s="20">
        <f>D8*G8</f>
        <v>5263400</v>
      </c>
      <c r="I8" s="16" t="str">
        <v>Customer specified baseline component</v>
      </c>
      <c r="J8" s="16" t="str">
        <v>CANDIDATE DOCUMENT REVIEW: UNVERIFIED</v>
      </c>
      <c r="K8" s="16" t="str">
        <v>Customer BOQ is 100% buildable as drafted. Zero additions, removals, or replacements required.</v>
      </c>
      <c r="L8" s="16" t="str">
        <v>LOCAL_RULE_CHECKED; PORTAL VALIDATION PENDING</v>
      </c>
    </row>
    <row r="9">
      <c r="A9" s="13" t="str">
        <v>P74690-B21</v>
      </c>
      <c r="B9" s="21">
        <v>1</v>
      </c>
      <c r="C9" s="21">
        <v>20</v>
      </c>
      <c r="D9" s="21">
        <f>B9*C9</f>
        <v>20</v>
      </c>
      <c r="E9" s="14" t="str">
        <v>HPE ProLiant Compute DL380a Gen12 PCIe Rear FIO Kit</v>
      </c>
      <c r="F9" s="14" t="str">
        <v>PCIe Riser</v>
      </c>
      <c r="G9" s="22">
        <v>988</v>
      </c>
      <c r="H9" s="22">
        <f>D9*G9</f>
        <v>19760</v>
      </c>
      <c r="I9" s="14" t="str">
        <v>Customer specified baseline component</v>
      </c>
      <c r="J9" s="14" t="str">
        <v>CANDIDATE DOCUMENT REVIEW: UNVERIFIED</v>
      </c>
      <c r="K9" s="14" t="str">
        <v>Customer BOQ is 100% buildable as drafted. Zero additions, removals, or replacements required.</v>
      </c>
      <c r="L9" s="14" t="str">
        <v>LOCAL_RULE_CHECKED; PORTAL VALIDATION PENDING</v>
      </c>
    </row>
    <row r="10">
      <c r="A10" s="15" t="str">
        <v>P47777-B21</v>
      </c>
      <c r="B10" s="19">
        <v>1</v>
      </c>
      <c r="C10" s="19">
        <v>20</v>
      </c>
      <c r="D10" s="19">
        <f>B10*C10</f>
        <v>20</v>
      </c>
      <c r="E10" s="16" t="str">
        <v>HPE MR416i-p Gen11 x16 Lanes 8GB Cache PCI SPDM Plug-in Storage Controller</v>
      </c>
      <c r="F10" s="16" t="str">
        <v>Storage Controller</v>
      </c>
      <c r="G10" s="20">
        <v>5999</v>
      </c>
      <c r="H10" s="20">
        <f>D10*G10</f>
        <v>119980</v>
      </c>
      <c r="I10" s="16" t="str">
        <v>Customer specified baseline component</v>
      </c>
      <c r="J10" s="16" t="str">
        <v>CANDIDATE DOCUMENT REVIEW: UNVERIFIED</v>
      </c>
      <c r="K10" s="16" t="str">
        <v>Customer BOQ is 100% buildable as drafted. Zero additions, removals, or replacements required.</v>
      </c>
      <c r="L10" s="16" t="str">
        <v>LOCAL_RULE_CHECKED; PORTAL VALIDATION PENDING</v>
      </c>
    </row>
    <row r="11">
      <c r="A11" s="13" t="str">
        <v>R2E09A</v>
      </c>
      <c r="B11" s="21">
        <v>1</v>
      </c>
      <c r="C11" s="21">
        <v>20</v>
      </c>
      <c r="D11" s="21">
        <f>B11*C11</f>
        <v>20</v>
      </c>
      <c r="E11" s="14" t="str">
        <v>HPE SN1610Q 32Gb 2-port Fibre Channel Host Bus Adapter</v>
      </c>
      <c r="F11" s="14" t="str">
        <v>Fibre Channel HBA</v>
      </c>
      <c r="G11" s="22">
        <v>0</v>
      </c>
      <c r="H11" s="22">
        <f>D11*G11</f>
        <v>0</v>
      </c>
      <c r="I11" s="14" t="str">
        <v>Customer specified baseline component</v>
      </c>
      <c r="J11" s="14" t="str">
        <v>CANDIDATE DOCUMENT REVIEW: UNVERIFIED</v>
      </c>
      <c r="K11" s="14" t="str">
        <v>Customer BOQ is 100% buildable as drafted. Zero additions, removals, or replacements required.</v>
      </c>
      <c r="L11" s="14" t="str">
        <v>LOCAL_RULE_CHECKED; PORTAL VALIDATION PENDING</v>
      </c>
    </row>
    <row r="12">
      <c r="A12" s="15" t="str">
        <v>P26262-B21</v>
      </c>
      <c r="B12" s="19">
        <v>1</v>
      </c>
      <c r="C12" s="19">
        <v>20</v>
      </c>
      <c r="D12" s="19">
        <f>B12*C12</f>
        <v>20</v>
      </c>
      <c r="E12" s="16" t="str">
        <v>Broadcom BCM57414 Ethernet 10/25Gb 2-port SFP28 Adapter for HPE</v>
      </c>
      <c r="F12" s="16" t="str">
        <v>Network Adapter</v>
      </c>
      <c r="G12" s="20">
        <v>0</v>
      </c>
      <c r="H12" s="20">
        <f>D12*G12</f>
        <v>0</v>
      </c>
      <c r="I12" s="16" t="str">
        <v>Customer specified baseline component</v>
      </c>
      <c r="J12" s="16" t="str">
        <v>CANDIDATE DOCUMENT REVIEW: UNVERIFIED</v>
      </c>
      <c r="K12" s="16" t="str">
        <v>Customer BOQ is 100% buildable as drafted. Zero additions, removals, or replacements required.</v>
      </c>
      <c r="L12" s="16" t="str">
        <v>LOCAL_RULE_CHECKED; PORTAL VALIDATION PENDING</v>
      </c>
    </row>
    <row r="13">
      <c r="A13" s="13" t="str">
        <v>P74714-B21</v>
      </c>
      <c r="B13" s="21">
        <v>2</v>
      </c>
      <c r="C13" s="21">
        <v>20</v>
      </c>
      <c r="D13" s="21">
        <f>B13*C13</f>
        <v>40</v>
      </c>
      <c r="E13" s="14" t="str">
        <v>HPE ProLiant Compute DL380a Gen12 Switchboard FIO Enablement Kit</v>
      </c>
      <c r="F13" s="14" t="str">
        <v>Cable Kit</v>
      </c>
      <c r="G13" s="22">
        <v>8890</v>
      </c>
      <c r="H13" s="22">
        <f>D13*G13</f>
        <v>355600</v>
      </c>
      <c r="I13" s="14" t="str">
        <v>Customer specified baseline component</v>
      </c>
      <c r="J13" s="14" t="str">
        <v>CANDIDATE DOCUMENT REVIEW: UNVERIFIED</v>
      </c>
      <c r="K13" s="14" t="str">
        <v>Customer BOQ is 100% buildable as drafted. Zero additions, removals, or replacements required.</v>
      </c>
      <c r="L13" s="14" t="str">
        <v>LOCAL_RULE_CHECKED; PORTAL VALIDATION PENDING</v>
      </c>
    </row>
    <row r="14">
      <c r="A14" s="15" t="str">
        <v>S3U30C</v>
      </c>
      <c r="B14" s="19">
        <v>8</v>
      </c>
      <c r="C14" s="19">
        <v>20</v>
      </c>
      <c r="D14" s="19">
        <f>B14*C14</f>
        <v>160</v>
      </c>
      <c r="E14" s="16" t="str">
        <v>NVIDIA H200 NVL 141GB PCIe Accelerator for HPE</v>
      </c>
      <c r="F14" s="16" t="str">
        <v>GPU / Accelerator</v>
      </c>
      <c r="G14" s="20">
        <v>112579</v>
      </c>
      <c r="H14" s="20">
        <f>D14*G14</f>
        <v>18012640</v>
      </c>
      <c r="I14" s="16" t="str">
        <v>Customer specified baseline component</v>
      </c>
      <c r="J14" s="16" t="str">
        <v>CANDIDATE DOCUMENT REVIEW: UNVERIFIED</v>
      </c>
      <c r="K14" s="16" t="str">
        <v>Customer BOQ is 100% buildable as drafted. Zero additions, removals, or replacements required.</v>
      </c>
      <c r="L14" s="16" t="str">
        <v>LOCAL_RULE_CHECKED; PORTAL VALIDATION PENDING</v>
      </c>
    </row>
    <row r="15">
      <c r="A15" s="13" t="str">
        <v>P01367-B21</v>
      </c>
      <c r="B15" s="21">
        <v>1</v>
      </c>
      <c r="C15" s="21">
        <v>20</v>
      </c>
      <c r="D15" s="21">
        <f>B15*C15</f>
        <v>20</v>
      </c>
      <c r="E15" s="14" t="str">
        <v>HPE 96W Smart Storage Lithium-ion Battery with 260mm Cable Kit</v>
      </c>
      <c r="F15" s="14" t="str">
        <v>Cable Kit</v>
      </c>
      <c r="G15" s="22">
        <v>140</v>
      </c>
      <c r="H15" s="22">
        <f>D15*G15</f>
        <v>2800</v>
      </c>
      <c r="I15" s="14" t="str">
        <v>Customer specified baseline component</v>
      </c>
      <c r="J15" s="14" t="str">
        <v>CANDIDATE DOCUMENT REVIEW: UNVERIFIED</v>
      </c>
      <c r="K15" s="14" t="str">
        <v>Customer BOQ is 100% buildable as drafted. Zero additions, removals, or replacements required.</v>
      </c>
      <c r="L15" s="14" t="str">
        <v>LOCAL_RULE_CHECKED; PORTAL VALIDATION PENDING</v>
      </c>
    </row>
    <row r="16">
      <c r="A16" s="15" t="str">
        <v>845398-B21</v>
      </c>
      <c r="B16" s="19">
        <v>2</v>
      </c>
      <c r="C16" s="19">
        <v>20</v>
      </c>
      <c r="D16" s="19">
        <f>B16*C16</f>
        <v>40</v>
      </c>
      <c r="E16" s="16" t="str">
        <v>HPE 25Gb SFP28 SR 100m Transceiver</v>
      </c>
      <c r="F16" s="16" t="str">
        <v>Transceiver</v>
      </c>
      <c r="G16" s="20">
        <v>2110</v>
      </c>
      <c r="H16" s="20">
        <f>D16*G16</f>
        <v>84400</v>
      </c>
      <c r="I16" s="16" t="str">
        <v>Customer specified baseline component</v>
      </c>
      <c r="J16" s="16" t="str">
        <v>CANDIDATE DOCUMENT REVIEW: UNVERIFIED</v>
      </c>
      <c r="K16" s="16" t="str">
        <v>Customer BOQ is 100% buildable as drafted. Zero additions, removals, or replacements required.</v>
      </c>
      <c r="L16" s="16" t="str">
        <v>LOCAL_RULE_CHECKED; PORTAL VALIDATION PENDING</v>
      </c>
    </row>
    <row r="17">
      <c r="A17" s="13" t="str">
        <v>P67252-B21</v>
      </c>
      <c r="B17" s="21">
        <v>8</v>
      </c>
      <c r="C17" s="21">
        <v>20</v>
      </c>
      <c r="D17" s="21">
        <f>B17*C17</f>
        <v>160</v>
      </c>
      <c r="E17" s="14" t="str">
        <v>HPE 2400W M-CRPS Titanium Hot Plug Power Supply Kit</v>
      </c>
      <c r="F17" s="14" t="str">
        <v>Power Supply</v>
      </c>
      <c r="G17" s="22">
        <v>2509</v>
      </c>
      <c r="H17" s="22">
        <f>D17*G17</f>
        <v>401440</v>
      </c>
      <c r="I17" s="14" t="str">
        <v>Customer specified baseline component</v>
      </c>
      <c r="J17" s="14" t="str">
        <v>CANDIDATE DOCUMENT REVIEW: UNVERIFIED</v>
      </c>
      <c r="K17" s="14" t="str">
        <v>Customer BOQ is 100% buildable as drafted. Zero additions, removals, or replacements required.</v>
      </c>
      <c r="L17" s="14" t="str">
        <v>LOCAL_RULE_CHECKED; PORTAL VALIDATION PENDING</v>
      </c>
    </row>
    <row r="18">
      <c r="A18" s="15" t="str">
        <v>295633-B22</v>
      </c>
      <c r="B18" s="19">
        <v>5</v>
      </c>
      <c r="C18" s="19">
        <v>20</v>
      </c>
      <c r="D18" s="19">
        <f>B18*C18</f>
        <v>100</v>
      </c>
      <c r="E18" s="16" t="str">
        <v>HPE C19 - C20 WW 250V 16Amp 2.5m Jumper Cord</v>
      </c>
      <c r="F18" s="16" t="str">
        <v>Cable Kit</v>
      </c>
      <c r="G18" s="20">
        <v>0</v>
      </c>
      <c r="H18" s="20">
        <f>D18*G18</f>
        <v>0</v>
      </c>
      <c r="I18" s="16" t="str">
        <v>Customer specified baseline component</v>
      </c>
      <c r="J18" s="16" t="str">
        <v>CANDIDATE DOCUMENT REVIEW: UNVERIFIED</v>
      </c>
      <c r="K18" s="16" t="str">
        <v>Customer BOQ is 100% buildable as drafted. Zero additions, removals, or replacements required.</v>
      </c>
      <c r="L18" s="16" t="str">
        <v>LOCAL_RULE_CHECKED; PORTAL VALIDATION PENDING</v>
      </c>
    </row>
    <row r="19">
      <c r="A19" s="13" t="str">
        <v>P78384-B21</v>
      </c>
      <c r="B19" s="21">
        <v>3</v>
      </c>
      <c r="C19" s="21">
        <v>20</v>
      </c>
      <c r="D19" s="21">
        <f>B19*C19</f>
        <v>60</v>
      </c>
      <c r="E19" s="14" t="str">
        <v>HPE C19 - C20 250V 16Amp 2.5m FIO Power Cord</v>
      </c>
      <c r="F19" s="14" t="str">
        <v>Cable Kit</v>
      </c>
      <c r="G19" s="22">
        <v>0</v>
      </c>
      <c r="H19" s="22">
        <f>D19*G19</f>
        <v>0</v>
      </c>
      <c r="I19" s="14" t="str">
        <v>Customer specified baseline component</v>
      </c>
      <c r="J19" s="14" t="str">
        <v>CANDIDATE DOCUMENT REVIEW: UNVERIFIED</v>
      </c>
      <c r="K19" s="14" t="str">
        <v>Customer BOQ is 100% buildable as drafted. Zero additions, removals, or replacements required.</v>
      </c>
      <c r="L19" s="14" t="str">
        <v>LOCAL_RULE_CHECKED; PORTAL VALIDATION PENDING</v>
      </c>
    </row>
    <row r="20">
      <c r="A20" s="15" t="str">
        <v>BD505A</v>
      </c>
      <c r="B20" s="19">
        <v>1</v>
      </c>
      <c r="C20" s="19">
        <v>20</v>
      </c>
      <c r="D20" s="19">
        <f>B20*C20</f>
        <v>20</v>
      </c>
      <c r="E20" s="16" t="str">
        <v>HPE iLO Advanced 1-server License with 3yr Support on iLO Licensed Features</v>
      </c>
      <c r="F20" s="16" t="str">
        <v>Service &amp; Support</v>
      </c>
      <c r="G20" s="20">
        <v>469</v>
      </c>
      <c r="H20" s="20">
        <f>D20*G20</f>
        <v>9380</v>
      </c>
      <c r="I20" s="16" t="str">
        <v>Customer specified baseline component</v>
      </c>
      <c r="J20" s="16" t="str">
        <v>CANDIDATE DOCUMENT REVIEW: UNVERIFIED</v>
      </c>
      <c r="K20" s="16" t="str">
        <v>Customer BOQ is 100% buildable as drafted. Zero additions, removals, or replacements required.</v>
      </c>
      <c r="L20" s="16" t="str">
        <v>LOCAL_RULE_CHECKED; PORTAL VALIDATION PENDING</v>
      </c>
    </row>
    <row r="21">
      <c r="A21" s="13" t="str">
        <v>S1A05A</v>
      </c>
      <c r="B21" s="21">
        <v>1</v>
      </c>
      <c r="C21" s="21">
        <v>20</v>
      </c>
      <c r="D21" s="21">
        <f>B21*C21</f>
        <v>20</v>
      </c>
      <c r="E21" s="14" t="str">
        <v>HPE Compute Cloud Management Server FIO Enablement</v>
      </c>
      <c r="F21" s="14" t="str">
        <v>Base Hardware</v>
      </c>
      <c r="G21" s="22">
        <v>0</v>
      </c>
      <c r="H21" s="22">
        <f>D21*G21</f>
        <v>0</v>
      </c>
      <c r="I21" s="14" t="str">
        <v>Customer specified baseline component</v>
      </c>
      <c r="J21" s="14" t="str">
        <v>CANDIDATE DOCUMENT REVIEW: UNVERIFIED</v>
      </c>
      <c r="K21" s="14" t="str">
        <v>Customer BOQ is 100% buildable as drafted. Zero additions, removals, or replacements required.</v>
      </c>
      <c r="L21" s="14" t="str">
        <v>LOCAL_RULE_CHECKED; PORTAL VALIDATION PENDING</v>
      </c>
    </row>
    <row r="22">
      <c r="A22" s="15" t="str">
        <v>P74694-B21</v>
      </c>
      <c r="B22" s="19">
        <v>1</v>
      </c>
      <c r="C22" s="19">
        <v>20</v>
      </c>
      <c r="D22" s="19">
        <f>B22*C22</f>
        <v>20</v>
      </c>
      <c r="E22" s="16" t="str">
        <v>HPE ProLiant Compute DL380a Gen12 OCPA Cable Kit</v>
      </c>
      <c r="F22" s="16" t="str">
        <v>Cable Kit</v>
      </c>
      <c r="G22" s="20">
        <v>75</v>
      </c>
      <c r="H22" s="20">
        <f>D22*G22</f>
        <v>1500</v>
      </c>
      <c r="I22" s="16" t="str">
        <v>Customer specified baseline component</v>
      </c>
      <c r="J22" s="16" t="str">
        <v>CANDIDATE DOCUMENT REVIEW: UNVERIFIED</v>
      </c>
      <c r="K22" s="16" t="str">
        <v>Customer BOQ is 100% buildable as drafted. Zero additions, removals, or replacements required.</v>
      </c>
      <c r="L22" s="16" t="str">
        <v>LOCAL_RULE_CHECKED; PORTAL VALIDATION PENDING</v>
      </c>
    </row>
    <row r="23">
      <c r="A23" s="13" t="str">
        <v>P74700-B21</v>
      </c>
      <c r="B23" s="21">
        <v>4</v>
      </c>
      <c r="C23" s="21">
        <v>20</v>
      </c>
      <c r="D23" s="21">
        <f>B23*C23</f>
        <v>80</v>
      </c>
      <c r="E23" s="14" t="str">
        <v>HPE ProLiant Compute DL380a Gen12 GPU 16-pin FIO Cable Kit</v>
      </c>
      <c r="F23" s="14" t="str">
        <v>Cable Kit</v>
      </c>
      <c r="G23" s="22">
        <v>0</v>
      </c>
      <c r="H23" s="22">
        <f>D23*G23</f>
        <v>0</v>
      </c>
      <c r="I23" s="14" t="str">
        <v>Customer specified baseline component</v>
      </c>
      <c r="J23" s="14" t="str">
        <v>CANDIDATE DOCUMENT REVIEW: UNVERIFIED</v>
      </c>
      <c r="K23" s="14" t="str">
        <v>Customer BOQ is 100% buildable as drafted. Zero additions, removals, or replacements required.</v>
      </c>
      <c r="L23" s="14" t="str">
        <v>LOCAL_RULE_CHECKED; PORTAL VALIDATION PENDING</v>
      </c>
    </row>
    <row r="24">
      <c r="A24" s="15" t="str">
        <v>P76700-B21</v>
      </c>
      <c r="B24" s="19">
        <v>1</v>
      </c>
      <c r="C24" s="19">
        <v>20</v>
      </c>
      <c r="D24" s="19">
        <f>B24*C24</f>
        <v>20</v>
      </c>
      <c r="E24" s="16" t="str">
        <v>HPE ProLiant Compute DL380a Gen12 NVMe to Tri-Mode PCIe FIO Cable Kit</v>
      </c>
      <c r="F24" s="16" t="str">
        <v>Cable Kit</v>
      </c>
      <c r="G24" s="20">
        <v>518</v>
      </c>
      <c r="H24" s="20">
        <f>D24*G24</f>
        <v>10360</v>
      </c>
      <c r="I24" s="16" t="str">
        <v>Customer specified baseline component</v>
      </c>
      <c r="J24" s="16" t="str">
        <v>CANDIDATE DOCUMENT REVIEW: UNVERIFIED</v>
      </c>
      <c r="K24" s="16" t="str">
        <v>Customer BOQ is 100% buildable as drafted. Zero additions, removals, or replacements required.</v>
      </c>
      <c r="L24" s="16" t="str">
        <v>LOCAL_RULE_CHECKED; PORTAL VALIDATION PENDING</v>
      </c>
    </row>
    <row r="25">
      <c r="A25" s="13" t="str">
        <v>P79656-B21</v>
      </c>
      <c r="B25" s="21">
        <v>1</v>
      </c>
      <c r="C25" s="21">
        <v>20</v>
      </c>
      <c r="D25" s="21">
        <f>B25*C25</f>
        <v>20</v>
      </c>
      <c r="E25" s="14" t="str">
        <v>HPE ProLiant Compute DL380a Gen12 Front Chassis Fan Module Kit</v>
      </c>
      <c r="F25" s="14" t="str">
        <v>Cooling / Thermal</v>
      </c>
      <c r="G25" s="22">
        <v>712</v>
      </c>
      <c r="H25" s="22">
        <f>D25*G25</f>
        <v>14240</v>
      </c>
      <c r="I25" s="14" t="str">
        <v>Customer specified baseline component</v>
      </c>
      <c r="J25" s="14" t="str">
        <v>CANDIDATE DOCUMENT REVIEW: UNVERIFIED</v>
      </c>
      <c r="K25" s="14" t="str">
        <v>Customer BOQ is 100% buildable as drafted. Zero additions, removals, or replacements required.</v>
      </c>
      <c r="L25" s="14" t="str">
        <v>LOCAL_RULE_CHECKED; PORTAL VALIDATION PENDING</v>
      </c>
    </row>
    <row r="26">
      <c r="A26" s="15" t="str">
        <v>P74911-B21</v>
      </c>
      <c r="B26" s="19">
        <v>1</v>
      </c>
      <c r="C26" s="19">
        <v>20</v>
      </c>
      <c r="D26" s="19">
        <f>B26*C26</f>
        <v>20</v>
      </c>
      <c r="E26" s="16" t="str">
        <v>HPE ProLiant Compute DL380a Gen12 4U Bezel Kit</v>
      </c>
      <c r="F26" s="16" t="str">
        <v>Chassis Infrastructure</v>
      </c>
      <c r="G26" s="20">
        <v>146</v>
      </c>
      <c r="H26" s="20">
        <f>D26*G26</f>
        <v>2920</v>
      </c>
      <c r="I26" s="16" t="str">
        <v>Customer specified baseline component</v>
      </c>
      <c r="J26" s="16" t="str">
        <v>CANDIDATE DOCUMENT REVIEW: UNVERIFIED</v>
      </c>
      <c r="K26" s="16" t="str">
        <v>Customer BOQ is 100% buildable as drafted. Zero additions, removals, or replacements required.</v>
      </c>
      <c r="L26" s="16" t="str">
        <v>LOCAL_RULE_CHECKED; PORTAL VALIDATION PENDING</v>
      </c>
    </row>
    <row r="27">
      <c r="A27" s="13" t="str">
        <v>P69770-B21</v>
      </c>
      <c r="B27" s="21">
        <v>1</v>
      </c>
      <c r="C27" s="21">
        <v>20</v>
      </c>
      <c r="D27" s="21">
        <f>B27*C27</f>
        <v>20</v>
      </c>
      <c r="E27" s="14" t="str">
        <v>HPE ProLiant Compute DL380a Gen12 Ball Bearing Rail Kit</v>
      </c>
      <c r="F27" s="14" t="str">
        <v>Chassis Infrastructure</v>
      </c>
      <c r="G27" s="22">
        <v>950</v>
      </c>
      <c r="H27" s="22">
        <f>D27*G27</f>
        <v>19000</v>
      </c>
      <c r="I27" s="14" t="str">
        <v>Customer specified baseline component</v>
      </c>
      <c r="J27" s="14" t="str">
        <v>CANDIDATE DOCUMENT REVIEW: UNVERIFIED</v>
      </c>
      <c r="K27" s="14" t="str">
        <v>Customer BOQ is 100% buildable as drafted. Zero additions, removals, or replacements required.</v>
      </c>
      <c r="L27" s="14" t="str">
        <v>LOCAL_RULE_CHECKED; PORTAL VALIDATION PENDING</v>
      </c>
    </row>
    <row r="28">
      <c r="A28" s="15" t="str">
        <v>P73325-B21</v>
      </c>
      <c r="B28" s="19">
        <v>1</v>
      </c>
      <c r="C28" s="19">
        <v>20</v>
      </c>
      <c r="D28" s="19">
        <f>B28*C28</f>
        <v>20</v>
      </c>
      <c r="E28" s="16" t="str">
        <v>HPE ProLiant Compute Localization FIO Kit</v>
      </c>
      <c r="F28" s="16" t="str">
        <v>Chassis Infrastructure</v>
      </c>
      <c r="G28" s="20">
        <v>4</v>
      </c>
      <c r="H28" s="20">
        <f>D28*G28</f>
        <v>80</v>
      </c>
      <c r="I28" s="16" t="str">
        <v>Customer specified baseline component</v>
      </c>
      <c r="J28" s="16" t="str">
        <v>CANDIDATE DOCUMENT REVIEW: UNVERIFIED</v>
      </c>
      <c r="K28" s="16" t="str">
        <v>Customer BOQ is 100% buildable as drafted. Zero additions, removals, or replacements required.</v>
      </c>
      <c r="L28" s="16" t="str">
        <v>LOCAL_RULE_CHECKED; PORTAL VALIDATION PENDING</v>
      </c>
    </row>
    <row r="29">
      <c r="A29" s="13" t="str">
        <v>P75008-B21</v>
      </c>
      <c r="B29" s="21">
        <v>1</v>
      </c>
      <c r="C29" s="21">
        <v>20</v>
      </c>
      <c r="D29" s="21">
        <f>B29*C29</f>
        <v>20</v>
      </c>
      <c r="E29" s="14" t="str">
        <v>HPE ProLiant Compute DL380a Gen12 8 Double Wide/16 Single Wide FIO Configuration</v>
      </c>
      <c r="F29" s="14" t="str">
        <v>Base Hardware</v>
      </c>
      <c r="G29" s="22">
        <v>1</v>
      </c>
      <c r="H29" s="22">
        <f>D29*G29</f>
        <v>20</v>
      </c>
      <c r="I29" s="14" t="str">
        <v>Customer specified baseline component</v>
      </c>
      <c r="J29" s="14" t="str">
        <v>CANDIDATE DOCUMENT REVIEW: UNVERIFIED</v>
      </c>
      <c r="K29" s="14" t="str">
        <v>Customer BOQ is 100% buildable as drafted. Zero additions, removals, or replacements required.</v>
      </c>
      <c r="L29" s="14" t="str">
        <v>LOCAL_RULE_CHECKED; PORTAL VALIDATION PENDING</v>
      </c>
    </row>
    <row r="30">
      <c r="A30" s="15" t="str">
        <v>P75284-B21</v>
      </c>
      <c r="B30" s="19">
        <v>1</v>
      </c>
      <c r="C30" s="19">
        <v>20</v>
      </c>
      <c r="D30" s="19">
        <f>B30*C30</f>
        <v>20</v>
      </c>
      <c r="E30" s="16" t="str">
        <v>HPE DL380a Gen12 NS204i-u Front Cage Kit</v>
      </c>
      <c r="F30" s="16" t="str">
        <v>Boot Device</v>
      </c>
      <c r="G30" s="20">
        <v>158</v>
      </c>
      <c r="H30" s="20">
        <f>D30*G30</f>
        <v>3160</v>
      </c>
      <c r="I30" s="16" t="str">
        <v>Customer specified baseline component</v>
      </c>
      <c r="J30" s="16" t="str">
        <v>CANDIDATE DOCUMENT REVIEW: UNVERIFIED</v>
      </c>
      <c r="K30" s="16" t="str">
        <v>Customer BOQ is 100% buildable as drafted. Zero additions, removals, or replacements required.</v>
      </c>
      <c r="L30" s="16" t="str">
        <v>LOCAL_RULE_CHECKED; PORTAL VALIDATION PENDING</v>
      </c>
    </row>
    <row r="31">
      <c r="A31" s="13" t="str">
        <v>P79660-B21</v>
      </c>
      <c r="B31" s="21">
        <v>1</v>
      </c>
      <c r="C31" s="21">
        <v>20</v>
      </c>
      <c r="D31" s="21">
        <f>B31*C31</f>
        <v>20</v>
      </c>
      <c r="E31" s="14" t="str">
        <v>HPE ProLiant Compute DL380a Gen12 Front Panel Kit</v>
      </c>
      <c r="F31" s="14" t="str">
        <v>Base Hardware</v>
      </c>
      <c r="G31" s="22">
        <v>65</v>
      </c>
      <c r="H31" s="22">
        <f>D31*G31</f>
        <v>1300</v>
      </c>
      <c r="I31" s="14" t="str">
        <v>Customer specified baseline component</v>
      </c>
      <c r="J31" s="14" t="str">
        <v>CANDIDATE DOCUMENT REVIEW: UNVERIFIED</v>
      </c>
      <c r="K31" s="14" t="str">
        <v>Customer BOQ is 100% buildable as drafted. Zero additions, removals, or replacements required.</v>
      </c>
      <c r="L31" s="14" t="str">
        <v>LOCAL_RULE_CHECKED; PORTAL VALIDATION PENDING</v>
      </c>
    </row>
    <row r="32">
      <c r="A32" s="15" t="str">
        <v>P81160-B21</v>
      </c>
      <c r="B32" s="19">
        <v>1</v>
      </c>
      <c r="C32" s="19">
        <v>20</v>
      </c>
      <c r="D32" s="19">
        <f>B32*C32</f>
        <v>20</v>
      </c>
      <c r="E32" s="16" t="str">
        <v>HPE NS204i-u v2 960GB NVMe Hot Plug Boot Optimized Storage Device</v>
      </c>
      <c r="F32" s="16" t="str">
        <v>Boot Device</v>
      </c>
      <c r="G32" s="20">
        <v>14299</v>
      </c>
      <c r="H32" s="20">
        <f>D32*G32</f>
        <v>285980</v>
      </c>
      <c r="I32" s="16" t="str">
        <v>Customer specified baseline component</v>
      </c>
      <c r="J32" s="16" t="str">
        <v>CANDIDATE DOCUMENT REVIEW: UNVERIFIED</v>
      </c>
      <c r="K32" s="16" t="str">
        <v>Customer BOQ is 100% buildable as drafted. Zero additions, removals, or replacements required.</v>
      </c>
      <c r="L32" s="16" t="str">
        <v>LOCAL_RULE_CHECKED; PORTAL VALIDATION PENDING</v>
      </c>
    </row>
    <row r="33">
      <c r="A33" s="13" t="str">
        <v>S4A91C</v>
      </c>
      <c r="B33" s="21">
        <v>2</v>
      </c>
      <c r="C33" s="21">
        <v>20</v>
      </c>
      <c r="D33" s="21">
        <f>B33*C33</f>
        <v>40</v>
      </c>
      <c r="E33" s="14" t="str">
        <v>NVIDIA 4-way NVLink Bridge for H200 NVL</v>
      </c>
      <c r="F33" s="14" t="str">
        <v>Cable Kit</v>
      </c>
      <c r="G33" s="22">
        <v>0</v>
      </c>
      <c r="H33" s="22">
        <f>D33*G33</f>
        <v>0</v>
      </c>
      <c r="I33" s="14" t="str">
        <v>Customer specified baseline component</v>
      </c>
      <c r="J33" s="14" t="str">
        <v>CANDIDATE DOCUMENT REVIEW: UNVERIFIED</v>
      </c>
      <c r="K33" s="14" t="str">
        <v>Customer BOQ is 100% buildable as drafted. Zero additions, removals, or replacements required.</v>
      </c>
      <c r="L33" s="14" t="str">
        <v>LOCAL_RULE_CHECKED; PORTAL VALIDATION PENDING</v>
      </c>
    </row>
    <row r="34">
      <c r="A34" s="15" t="str">
        <v>R7A11AAE</v>
      </c>
      <c r="B34" s="19">
        <v>1</v>
      </c>
      <c r="C34" s="19">
        <v>20</v>
      </c>
      <c r="D34" s="19">
        <f>B34*C34</f>
        <v>20</v>
      </c>
      <c r="E34" s="16" t="str">
        <v>HPE Compute Ops Management Standard 3-year Upfront ProLiant SaaS</v>
      </c>
      <c r="F34" s="16" t="str">
        <v>Base Hardware</v>
      </c>
      <c r="G34" s="20">
        <v>0</v>
      </c>
      <c r="H34" s="20">
        <f>D34*G34</f>
        <v>0</v>
      </c>
      <c r="I34" s="16" t="str">
        <v>Customer specified baseline component</v>
      </c>
      <c r="J34" s="16" t="str">
        <v>CANDIDATE DOCUMENT REVIEW: UNVERIFIED</v>
      </c>
      <c r="K34" s="16" t="str">
        <v>Customer BOQ is 100% buildable as drafted. Zero additions, removals, or replacements required.</v>
      </c>
      <c r="L34" s="16" t="str">
        <v>LOCAL_RULE_CHECKED; PORTAL VALIDATION PENDING</v>
      </c>
    </row>
    <row r="35">
      <c r="A35" s="13" t="str">
        <v>HA113A1</v>
      </c>
      <c r="B35" s="21">
        <v>1</v>
      </c>
      <c r="C35" s="21">
        <v>20</v>
      </c>
      <c r="D35" s="21">
        <f>B35*C35</f>
        <v>21</v>
      </c>
      <c r="E35" s="14" t="str">
        <v>HPE Installation Service</v>
      </c>
      <c r="F35" s="14" t="str">
        <v>Service &amp; Support</v>
      </c>
      <c r="G35" s="22">
        <v>0</v>
      </c>
      <c r="H35" s="22">
        <f>D35*G35</f>
        <v>0</v>
      </c>
      <c r="I35" s="14" t="str">
        <v>Customer specified baseline component</v>
      </c>
      <c r="J35" s="14" t="str">
        <v>CANDIDATE DOCUMENT REVIEW: UNVERIFIED</v>
      </c>
      <c r="K35" s="14" t="str">
        <v>Customer BOQ is 100% buildable as drafted. Zero additions, removals, or replacements required.</v>
      </c>
      <c r="L35" s="14" t="str">
        <v>LOCAL_RULE_CHECKED; PORTAL VALIDATION PENDING</v>
      </c>
    </row>
    <row r="36">
      <c r="A36" s="15" t="str">
        <v>HU4B2A3</v>
      </c>
      <c r="B36" s="19">
        <v>1</v>
      </c>
      <c r="C36" s="19">
        <v>1</v>
      </c>
      <c r="D36" s="19">
        <f>B36*C36</f>
        <v>1</v>
      </c>
      <c r="E36" s="16" t="str">
        <v>HPE 3Y Tech Care Basic Service</v>
      </c>
      <c r="F36" s="16" t="str">
        <v>Service &amp; Support</v>
      </c>
      <c r="G36" s="20">
        <v>0</v>
      </c>
      <c r="H36" s="20">
        <f>D36*G36</f>
        <v>0</v>
      </c>
      <c r="I36" s="16" t="str">
        <v>Customer specified baseline component</v>
      </c>
      <c r="J36" s="16" t="str">
        <v>CANDIDATE DOCUMENT REVIEW: UNVERIFIED</v>
      </c>
      <c r="K36" s="16" t="str">
        <v>Customer BOQ is 100% buildable as drafted. Zero additions, removals, or replacements required.</v>
      </c>
      <c r="L36" s="16" t="str">
        <v>LOCAL_RULE_CHECKED; PORTAL VALIDATION PENDING</v>
      </c>
    </row>
    <row r="37">
      <c r="A37" s="13" t="str">
        <v>HU4B2A30C4W</v>
      </c>
      <c r="B37" s="21">
        <v>1</v>
      </c>
      <c r="C37" s="21">
        <v>20</v>
      </c>
      <c r="D37" s="21">
        <f>B37*C37</f>
        <v>20</v>
      </c>
      <c r="E37" s="14" t="str">
        <v>HPE HPE DL380a Gen12 Support</v>
      </c>
      <c r="F37" s="14" t="str">
        <v>Service &amp; Support</v>
      </c>
      <c r="G37" s="22">
        <v>0</v>
      </c>
      <c r="H37" s="22">
        <f>D37*G37</f>
        <v>0</v>
      </c>
      <c r="I37" s="14" t="str">
        <v>Customer specified baseline component</v>
      </c>
      <c r="J37" s="14" t="str">
        <v>CANDIDATE DOCUMENT REVIEW: UNVERIFIED</v>
      </c>
      <c r="K37" s="14" t="str">
        <v>Customer BOQ is 100% buildable as drafted. Zero additions, removals, or replacements required.</v>
      </c>
      <c r="L37" s="14" t="str">
        <v>LOCAL_RULE_CHECKED; PORTAL VALIDATION PENDING</v>
      </c>
    </row>
    <row r="38">
      <c r="A38" s="23" t="str">
        <v>SUBTOTAL / ESTIMATED CAPEX</v>
      </c>
      <c r="B38" s="24" t="str">
        <v/>
      </c>
      <c r="C38" s="24" t="str">
        <v/>
      </c>
      <c r="D38" s="24" t="str">
        <v/>
      </c>
      <c r="E38" s="24" t="str">
        <v/>
      </c>
      <c r="F38" s="24" t="str">
        <v/>
      </c>
      <c r="G38" s="25" t="str">
        <v/>
      </c>
      <c r="H38" s="25">
        <f>SUM(H4:H37)</f>
        <v>29881860</v>
      </c>
      <c r="I38" s="24" t="str">
        <v>20 Node(s)</v>
      </c>
      <c r="J38" s="24" t="str">
        <v>CANDIDATE DOCUMENT REVIEW: UNVERIFIED</v>
      </c>
      <c r="K38" s="24" t="str">
        <v>LOCAL_RULE_CHECKED</v>
      </c>
      <c r="L38" s="24" t="str">
        <v>PORTAL VALIDATION PENDING</v>
      </c>
    </row>
  </sheetData>
  <ignoredErrors>
    <ignoredError numberStoredAsText="1" sqref="A1:L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cols>
    <col min="1" max="1" width="18.83203125" customWidth="1"/>
    <col min="2" max="2" width="14.83203125" customWidth="1"/>
    <col min="3" max="3" width="15.83203125" customWidth="1"/>
    <col min="4" max="4" width="12.83203125" customWidth="1"/>
    <col min="5" max="5" width="45.83203125" customWidth="1"/>
    <col min="6" max="6" width="22.83203125" customWidth="1"/>
    <col min="7" max="7" width="18.83203125" customWidth="1"/>
    <col min="8" max="8" width="20.83203125" customWidth="1"/>
    <col min="9" max="9" width="45.83203125" customWidth="1"/>
    <col min="10" max="10" width="35.83203125" customWidth="1"/>
    <col min="11" max="11" width="55.83203125" customWidth="1"/>
    <col min="12" max="12" width="25.83203125" customWidth="1"/>
  </cols>
  <sheetData>
    <row r="1">
      <c r="A1" s="17" t="str">
        <v>HPE SOLUTION SPECIFICATION — RANK 2: Rank 2: Standardized CTO Baseline &amp; Factory Default Accessories</v>
      </c>
    </row>
    <row r="2">
      <c r="A2" s="18" t="str">
        <v>Estimated CapEx: $2,98,81,860 | Alignment: 95% (Standardized) | Server Nodes: 20</v>
      </c>
    </row>
    <row r="3">
      <c r="A3" s="6" t="str">
        <v>Part No</v>
      </c>
      <c r="B3" s="6" t="str">
        <v>Per-Node Qty</v>
      </c>
      <c r="C3" s="6" t="str">
        <v>Node Multiplier</v>
      </c>
      <c r="D3" s="6" t="str">
        <v>Total Qty</v>
      </c>
      <c r="E3" s="6" t="str">
        <v>Description</v>
      </c>
      <c r="F3" s="6" t="str">
        <v>Component Role</v>
      </c>
      <c r="G3" s="6" t="str">
        <v>Unit Price (USD)</v>
      </c>
      <c r="H3" s="6" t="str">
        <v>Extended Price (USD)</v>
      </c>
      <c r="I3" s="6" t="str">
        <v>Physical Math &amp; Rule Engine Rationale</v>
      </c>
      <c r="J3" s="6" t="str">
        <v>Gemini NotebookLM Badge</v>
      </c>
      <c r="K3" s="6" t="str">
        <v>Agentic Guardrail &amp; Evals Trace</v>
      </c>
      <c r="L3" s="6" t="str">
        <v>CLIC Status / Rule Trace</v>
      </c>
    </row>
    <row r="4">
      <c r="A4" s="15" t="str">
        <v>P76706-B21</v>
      </c>
      <c r="B4" s="19">
        <v>1</v>
      </c>
      <c r="C4" s="19">
        <v>20</v>
      </c>
      <c r="D4" s="19">
        <f>B4*C4</f>
        <v>20</v>
      </c>
      <c r="E4" s="16" t="str">
        <v>HPE ProLiant Compute DL380a Gen12 8 Double Wide/16 Single Wide Configure-to-order Server</v>
      </c>
      <c r="F4" s="16" t="str">
        <v>Base Chassis</v>
      </c>
      <c r="G4" s="20">
        <v>21407</v>
      </c>
      <c r="H4" s="20">
        <f>D4*G4</f>
        <v>428140</v>
      </c>
      <c r="I4" s="16" t="str">
        <v>Customer specified baseline component</v>
      </c>
      <c r="J4" s="16" t="str">
        <v>CANDIDATE DOCUMENT REVIEW: UNVERIFIED</v>
      </c>
      <c r="K4" s="16" t="str">
        <v>Standardizes baseline options with factory default cable and rail accessories for maximum factory assembly stability.</v>
      </c>
      <c r="L4" s="16" t="str">
        <v>LOCAL_RULE_CHECKED; PORTAL VALIDATION PENDING</v>
      </c>
    </row>
    <row r="5">
      <c r="A5" s="13" t="str">
        <v>P74571-B21</v>
      </c>
      <c r="B5" s="21">
        <v>2</v>
      </c>
      <c r="C5" s="21">
        <v>20</v>
      </c>
      <c r="D5" s="21">
        <f>B5*C5</f>
        <v>40</v>
      </c>
      <c r="E5" s="14" t="str">
        <v>Intel Xeon 6530P 2.3GHz 32-core 225W Processor for HPE</v>
      </c>
      <c r="F5" s="14" t="str">
        <v>Processor</v>
      </c>
      <c r="G5" s="22">
        <v>6830</v>
      </c>
      <c r="H5" s="22">
        <f>D5*G5</f>
        <v>273200</v>
      </c>
      <c r="I5" s="14" t="str">
        <v>Customer specified baseline component</v>
      </c>
      <c r="J5" s="14" t="str">
        <v>CANDIDATE DOCUMENT REVIEW: UNVERIFIED</v>
      </c>
      <c r="K5" s="14" t="str">
        <v>Standardizes baseline options with factory default cable and rail accessories for maximum factory assembly stability.</v>
      </c>
      <c r="L5" s="14" t="str">
        <v>LOCAL_RULE_CHECKED; PORTAL VALIDATION PENDING</v>
      </c>
    </row>
    <row r="6">
      <c r="A6" s="15" t="str">
        <v>P69728-F21</v>
      </c>
      <c r="B6" s="19">
        <v>8</v>
      </c>
      <c r="C6" s="19">
        <v>20</v>
      </c>
      <c r="D6" s="19">
        <f>B6*C6</f>
        <v>160</v>
      </c>
      <c r="E6" s="16" t="str">
        <v>HPE 64GB (1x64GB) Dual Rank x4 DDR5-6400 CAS-52-52-52 EC8 Registered Smart FIO Memory Kit</v>
      </c>
      <c r="F6" s="16" t="str">
        <v>Memory</v>
      </c>
      <c r="G6" s="20">
        <v>28532</v>
      </c>
      <c r="H6" s="20">
        <f>D6*G6</f>
        <v>4565120</v>
      </c>
      <c r="I6" s="16" t="str">
        <v>Customer specified baseline component</v>
      </c>
      <c r="J6" s="16" t="str">
        <v>CANDIDATE DOCUMENT REVIEW: UNVERIFIED</v>
      </c>
      <c r="K6" s="16" t="str">
        <v>Standardizes baseline options with factory default cable and rail accessories for maximum factory assembly stability.</v>
      </c>
      <c r="L6" s="16" t="str">
        <v>LOCAL_RULE_CHECKED; PORTAL VALIDATION PENDING</v>
      </c>
    </row>
    <row r="7">
      <c r="A7" s="13" t="str">
        <v>P74710-B21</v>
      </c>
      <c r="B7" s="21">
        <v>1</v>
      </c>
      <c r="C7" s="21">
        <v>20</v>
      </c>
      <c r="D7" s="21">
        <f>B7*C7</f>
        <v>20</v>
      </c>
      <c r="E7" s="14" t="str">
        <v>HPE ProLiant Compute DL380a Gen12 4SFF FIO Drive Cage Kit</v>
      </c>
      <c r="F7" s="14" t="str">
        <v>Drive Cage / Drive</v>
      </c>
      <c r="G7" s="22">
        <v>372</v>
      </c>
      <c r="H7" s="22">
        <f>D7*G7</f>
        <v>7440</v>
      </c>
      <c r="I7" s="14" t="str">
        <v>Customer specified baseline component</v>
      </c>
      <c r="J7" s="14" t="str">
        <v>CANDIDATE DOCUMENT REVIEW: UNVERIFIED</v>
      </c>
      <c r="K7" s="14" t="str">
        <v>Standardizes baseline options with factory default cable and rail accessories for maximum factory assembly stability.</v>
      </c>
      <c r="L7" s="14" t="str">
        <v>LOCAL_RULE_CHECKED; PORTAL VALIDATION PENDING</v>
      </c>
    </row>
    <row r="8">
      <c r="A8" s="15" t="str">
        <v>P70436-B21</v>
      </c>
      <c r="B8" s="19">
        <v>2</v>
      </c>
      <c r="C8" s="19">
        <v>20</v>
      </c>
      <c r="D8" s="19">
        <f>B8*C8</f>
        <v>40</v>
      </c>
      <c r="E8" s="16" t="str">
        <v>HPE 15.36TB NVMe Gen4 High Performance Read Intensive SFF BC U.3 PS1010 SSD</v>
      </c>
      <c r="F8" s="16" t="str">
        <v>Drive Cage / Drive</v>
      </c>
      <c r="G8" s="20">
        <v>131585</v>
      </c>
      <c r="H8" s="20">
        <f>D8*G8</f>
        <v>5263400</v>
      </c>
      <c r="I8" s="16" t="str">
        <v>Customer specified baseline component</v>
      </c>
      <c r="J8" s="16" t="str">
        <v>CANDIDATE DOCUMENT REVIEW: UNVERIFIED</v>
      </c>
      <c r="K8" s="16" t="str">
        <v>Standardizes baseline options with factory default cable and rail accessories for maximum factory assembly stability.</v>
      </c>
      <c r="L8" s="16" t="str">
        <v>LOCAL_RULE_CHECKED; PORTAL VALIDATION PENDING</v>
      </c>
    </row>
    <row r="9">
      <c r="A9" s="13" t="str">
        <v>P74690-B21</v>
      </c>
      <c r="B9" s="21">
        <v>1</v>
      </c>
      <c r="C9" s="21">
        <v>20</v>
      </c>
      <c r="D9" s="21">
        <f>B9*C9</f>
        <v>20</v>
      </c>
      <c r="E9" s="14" t="str">
        <v>HPE ProLiant Compute DL380a Gen12 PCIe Rear FIO Kit</v>
      </c>
      <c r="F9" s="14" t="str">
        <v>PCIe Riser</v>
      </c>
      <c r="G9" s="22">
        <v>988</v>
      </c>
      <c r="H9" s="22">
        <f>D9*G9</f>
        <v>19760</v>
      </c>
      <c r="I9" s="14" t="str">
        <v>Customer specified baseline component</v>
      </c>
      <c r="J9" s="14" t="str">
        <v>CANDIDATE DOCUMENT REVIEW: UNVERIFIED</v>
      </c>
      <c r="K9" s="14" t="str">
        <v>Standardizes baseline options with factory default cable and rail accessories for maximum factory assembly stability.</v>
      </c>
      <c r="L9" s="14" t="str">
        <v>LOCAL_RULE_CHECKED; PORTAL VALIDATION PENDING</v>
      </c>
    </row>
    <row r="10">
      <c r="A10" s="15" t="str">
        <v>P47777-B21</v>
      </c>
      <c r="B10" s="19">
        <v>1</v>
      </c>
      <c r="C10" s="19">
        <v>20</v>
      </c>
      <c r="D10" s="19">
        <f>B10*C10</f>
        <v>20</v>
      </c>
      <c r="E10" s="16" t="str">
        <v>HPE MR416i-p Gen11 x16 Lanes 8GB Cache PCI SPDM Plug-in Storage Controller</v>
      </c>
      <c r="F10" s="16" t="str">
        <v>Storage Controller</v>
      </c>
      <c r="G10" s="20">
        <v>5999</v>
      </c>
      <c r="H10" s="20">
        <f>D10*G10</f>
        <v>119980</v>
      </c>
      <c r="I10" s="16" t="str">
        <v>Customer specified baseline component</v>
      </c>
      <c r="J10" s="16" t="str">
        <v>CANDIDATE DOCUMENT REVIEW: UNVERIFIED</v>
      </c>
      <c r="K10" s="16" t="str">
        <v>Standardizes baseline options with factory default cable and rail accessories for maximum factory assembly stability.</v>
      </c>
      <c r="L10" s="16" t="str">
        <v>LOCAL_RULE_CHECKED; PORTAL VALIDATION PENDING</v>
      </c>
    </row>
    <row r="11">
      <c r="A11" s="13" t="str">
        <v>R2E09A</v>
      </c>
      <c r="B11" s="21">
        <v>1</v>
      </c>
      <c r="C11" s="21">
        <v>20</v>
      </c>
      <c r="D11" s="21">
        <f>B11*C11</f>
        <v>20</v>
      </c>
      <c r="E11" s="14" t="str">
        <v>HPE SN1610Q 32Gb 2-port Fibre Channel Host Bus Adapter</v>
      </c>
      <c r="F11" s="14" t="str">
        <v>Fibre Channel HBA</v>
      </c>
      <c r="G11" s="22">
        <v>0</v>
      </c>
      <c r="H11" s="22">
        <f>D11*G11</f>
        <v>0</v>
      </c>
      <c r="I11" s="14" t="str">
        <v>Customer specified baseline component</v>
      </c>
      <c r="J11" s="14" t="str">
        <v>CANDIDATE DOCUMENT REVIEW: UNVERIFIED</v>
      </c>
      <c r="K11" s="14" t="str">
        <v>Standardizes baseline options with factory default cable and rail accessories for maximum factory assembly stability.</v>
      </c>
      <c r="L11" s="14" t="str">
        <v>LOCAL_RULE_CHECKED; PORTAL VALIDATION PENDING</v>
      </c>
    </row>
    <row r="12">
      <c r="A12" s="15" t="str">
        <v>P26262-B21</v>
      </c>
      <c r="B12" s="19">
        <v>1</v>
      </c>
      <c r="C12" s="19">
        <v>20</v>
      </c>
      <c r="D12" s="19">
        <f>B12*C12</f>
        <v>20</v>
      </c>
      <c r="E12" s="16" t="str">
        <v>Broadcom BCM57414 Ethernet 10/25Gb 2-port SFP28 Adapter for HPE</v>
      </c>
      <c r="F12" s="16" t="str">
        <v>Network Adapter</v>
      </c>
      <c r="G12" s="20">
        <v>0</v>
      </c>
      <c r="H12" s="20">
        <f>D12*G12</f>
        <v>0</v>
      </c>
      <c r="I12" s="16" t="str">
        <v>Customer specified baseline component</v>
      </c>
      <c r="J12" s="16" t="str">
        <v>CANDIDATE DOCUMENT REVIEW: UNVERIFIED</v>
      </c>
      <c r="K12" s="16" t="str">
        <v>Standardizes baseline options with factory default cable and rail accessories for maximum factory assembly stability.</v>
      </c>
      <c r="L12" s="16" t="str">
        <v>LOCAL_RULE_CHECKED; PORTAL VALIDATION PENDING</v>
      </c>
    </row>
    <row r="13">
      <c r="A13" s="13" t="str">
        <v>P74714-B21</v>
      </c>
      <c r="B13" s="21">
        <v>2</v>
      </c>
      <c r="C13" s="21">
        <v>20</v>
      </c>
      <c r="D13" s="21">
        <f>B13*C13</f>
        <v>40</v>
      </c>
      <c r="E13" s="14" t="str">
        <v>HPE ProLiant Compute DL380a Gen12 Switchboard FIO Enablement Kit</v>
      </c>
      <c r="F13" s="14" t="str">
        <v>Cable Kit</v>
      </c>
      <c r="G13" s="22">
        <v>8890</v>
      </c>
      <c r="H13" s="22">
        <f>D13*G13</f>
        <v>355600</v>
      </c>
      <c r="I13" s="14" t="str">
        <v>Customer specified baseline component</v>
      </c>
      <c r="J13" s="14" t="str">
        <v>CANDIDATE DOCUMENT REVIEW: UNVERIFIED</v>
      </c>
      <c r="K13" s="14" t="str">
        <v>Standardizes baseline options with factory default cable and rail accessories for maximum factory assembly stability.</v>
      </c>
      <c r="L13" s="14" t="str">
        <v>LOCAL_RULE_CHECKED; PORTAL VALIDATION PENDING</v>
      </c>
    </row>
    <row r="14">
      <c r="A14" s="15" t="str">
        <v>S3U30C</v>
      </c>
      <c r="B14" s="19">
        <v>8</v>
      </c>
      <c r="C14" s="19">
        <v>20</v>
      </c>
      <c r="D14" s="19">
        <f>B14*C14</f>
        <v>160</v>
      </c>
      <c r="E14" s="16" t="str">
        <v>NVIDIA H200 NVL 141GB PCIe Accelerator for HPE</v>
      </c>
      <c r="F14" s="16" t="str">
        <v>GPU / Accelerator</v>
      </c>
      <c r="G14" s="20">
        <v>112579</v>
      </c>
      <c r="H14" s="20">
        <f>D14*G14</f>
        <v>18012640</v>
      </c>
      <c r="I14" s="16" t="str">
        <v>Customer specified baseline component</v>
      </c>
      <c r="J14" s="16" t="str">
        <v>CANDIDATE DOCUMENT REVIEW: UNVERIFIED</v>
      </c>
      <c r="K14" s="16" t="str">
        <v>Standardizes baseline options with factory default cable and rail accessories for maximum factory assembly stability.</v>
      </c>
      <c r="L14" s="16" t="str">
        <v>LOCAL_RULE_CHECKED; PORTAL VALIDATION PENDING</v>
      </c>
    </row>
    <row r="15">
      <c r="A15" s="13" t="str">
        <v>P01367-B21</v>
      </c>
      <c r="B15" s="21">
        <v>1</v>
      </c>
      <c r="C15" s="21">
        <v>20</v>
      </c>
      <c r="D15" s="21">
        <f>B15*C15</f>
        <v>20</v>
      </c>
      <c r="E15" s="14" t="str">
        <v>HPE 96W Smart Storage Lithium-ion Battery with 260mm Cable Kit</v>
      </c>
      <c r="F15" s="14" t="str">
        <v>Cable Kit</v>
      </c>
      <c r="G15" s="22">
        <v>140</v>
      </c>
      <c r="H15" s="22">
        <f>D15*G15</f>
        <v>2800</v>
      </c>
      <c r="I15" s="14" t="str">
        <v>Customer specified baseline component</v>
      </c>
      <c r="J15" s="14" t="str">
        <v>CANDIDATE DOCUMENT REVIEW: UNVERIFIED</v>
      </c>
      <c r="K15" s="14" t="str">
        <v>Standardizes baseline options with factory default cable and rail accessories for maximum factory assembly stability.</v>
      </c>
      <c r="L15" s="14" t="str">
        <v>LOCAL_RULE_CHECKED; PORTAL VALIDATION PENDING</v>
      </c>
    </row>
    <row r="16">
      <c r="A16" s="15" t="str">
        <v>845398-B21</v>
      </c>
      <c r="B16" s="19">
        <v>2</v>
      </c>
      <c r="C16" s="19">
        <v>20</v>
      </c>
      <c r="D16" s="19">
        <f>B16*C16</f>
        <v>40</v>
      </c>
      <c r="E16" s="16" t="str">
        <v>HPE 25Gb SFP28 SR 100m Transceiver</v>
      </c>
      <c r="F16" s="16" t="str">
        <v>Transceiver</v>
      </c>
      <c r="G16" s="20">
        <v>2110</v>
      </c>
      <c r="H16" s="20">
        <f>D16*G16</f>
        <v>84400</v>
      </c>
      <c r="I16" s="16" t="str">
        <v>Customer specified baseline component</v>
      </c>
      <c r="J16" s="16" t="str">
        <v>CANDIDATE DOCUMENT REVIEW: UNVERIFIED</v>
      </c>
      <c r="K16" s="16" t="str">
        <v>Standardizes baseline options with factory default cable and rail accessories for maximum factory assembly stability.</v>
      </c>
      <c r="L16" s="16" t="str">
        <v>LOCAL_RULE_CHECKED; PORTAL VALIDATION PENDING</v>
      </c>
    </row>
    <row r="17">
      <c r="A17" s="13" t="str">
        <v>P67252-B21</v>
      </c>
      <c r="B17" s="21">
        <v>8</v>
      </c>
      <c r="C17" s="21">
        <v>20</v>
      </c>
      <c r="D17" s="21">
        <f>B17*C17</f>
        <v>160</v>
      </c>
      <c r="E17" s="14" t="str">
        <v>HPE 2400W M-CRPS Titanium Hot Plug Power Supply Kit</v>
      </c>
      <c r="F17" s="14" t="str">
        <v>Power Supply</v>
      </c>
      <c r="G17" s="22">
        <v>2509</v>
      </c>
      <c r="H17" s="22">
        <f>D17*G17</f>
        <v>401440</v>
      </c>
      <c r="I17" s="14" t="str">
        <v>Customer specified baseline component</v>
      </c>
      <c r="J17" s="14" t="str">
        <v>CANDIDATE DOCUMENT REVIEW: UNVERIFIED</v>
      </c>
      <c r="K17" s="14" t="str">
        <v>Standardizes baseline options with factory default cable and rail accessories for maximum factory assembly stability.</v>
      </c>
      <c r="L17" s="14" t="str">
        <v>LOCAL_RULE_CHECKED; PORTAL VALIDATION PENDING</v>
      </c>
    </row>
    <row r="18">
      <c r="A18" s="15" t="str">
        <v>295633-B22</v>
      </c>
      <c r="B18" s="19">
        <v>5</v>
      </c>
      <c r="C18" s="19">
        <v>20</v>
      </c>
      <c r="D18" s="19">
        <f>B18*C18</f>
        <v>100</v>
      </c>
      <c r="E18" s="16" t="str">
        <v>HPE C19 - C20 WW 250V 16Amp 2.5m Jumper Cord</v>
      </c>
      <c r="F18" s="16" t="str">
        <v>Cable Kit</v>
      </c>
      <c r="G18" s="20">
        <v>0</v>
      </c>
      <c r="H18" s="20">
        <f>D18*G18</f>
        <v>0</v>
      </c>
      <c r="I18" s="16" t="str">
        <v>Customer specified baseline component</v>
      </c>
      <c r="J18" s="16" t="str">
        <v>CANDIDATE DOCUMENT REVIEW: UNVERIFIED</v>
      </c>
      <c r="K18" s="16" t="str">
        <v>Standardizes baseline options with factory default cable and rail accessories for maximum factory assembly stability.</v>
      </c>
      <c r="L18" s="16" t="str">
        <v>LOCAL_RULE_CHECKED; PORTAL VALIDATION PENDING</v>
      </c>
    </row>
    <row r="19">
      <c r="A19" s="13" t="str">
        <v>P78384-B21</v>
      </c>
      <c r="B19" s="21">
        <v>3</v>
      </c>
      <c r="C19" s="21">
        <v>20</v>
      </c>
      <c r="D19" s="21">
        <f>B19*C19</f>
        <v>60</v>
      </c>
      <c r="E19" s="14" t="str">
        <v>HPE C19 - C20 250V 16Amp 2.5m FIO Power Cord</v>
      </c>
      <c r="F19" s="14" t="str">
        <v>Cable Kit</v>
      </c>
      <c r="G19" s="22">
        <v>0</v>
      </c>
      <c r="H19" s="22">
        <f>D19*G19</f>
        <v>0</v>
      </c>
      <c r="I19" s="14" t="str">
        <v>Customer specified baseline component</v>
      </c>
      <c r="J19" s="14" t="str">
        <v>CANDIDATE DOCUMENT REVIEW: UNVERIFIED</v>
      </c>
      <c r="K19" s="14" t="str">
        <v>Standardizes baseline options with factory default cable and rail accessories for maximum factory assembly stability.</v>
      </c>
      <c r="L19" s="14" t="str">
        <v>LOCAL_RULE_CHECKED; PORTAL VALIDATION PENDING</v>
      </c>
    </row>
    <row r="20">
      <c r="A20" s="15" t="str">
        <v>BD505A</v>
      </c>
      <c r="B20" s="19">
        <v>1</v>
      </c>
      <c r="C20" s="19">
        <v>20</v>
      </c>
      <c r="D20" s="19">
        <f>B20*C20</f>
        <v>20</v>
      </c>
      <c r="E20" s="16" t="str">
        <v>HPE iLO Advanced 1-server License with 3yr Support on iLO Licensed Features</v>
      </c>
      <c r="F20" s="16" t="str">
        <v>Service &amp; Support</v>
      </c>
      <c r="G20" s="20">
        <v>469</v>
      </c>
      <c r="H20" s="20">
        <f>D20*G20</f>
        <v>9380</v>
      </c>
      <c r="I20" s="16" t="str">
        <v>Customer specified baseline component</v>
      </c>
      <c r="J20" s="16" t="str">
        <v>CANDIDATE DOCUMENT REVIEW: UNVERIFIED</v>
      </c>
      <c r="K20" s="16" t="str">
        <v>Standardizes baseline options with factory default cable and rail accessories for maximum factory assembly stability.</v>
      </c>
      <c r="L20" s="16" t="str">
        <v>LOCAL_RULE_CHECKED; PORTAL VALIDATION PENDING</v>
      </c>
    </row>
    <row r="21">
      <c r="A21" s="13" t="str">
        <v>S1A05A</v>
      </c>
      <c r="B21" s="21">
        <v>1</v>
      </c>
      <c r="C21" s="21">
        <v>20</v>
      </c>
      <c r="D21" s="21">
        <f>B21*C21</f>
        <v>20</v>
      </c>
      <c r="E21" s="14" t="str">
        <v>HPE Compute Cloud Management Server FIO Enablement</v>
      </c>
      <c r="F21" s="14" t="str">
        <v>Base Hardware</v>
      </c>
      <c r="G21" s="22">
        <v>0</v>
      </c>
      <c r="H21" s="22">
        <f>D21*G21</f>
        <v>0</v>
      </c>
      <c r="I21" s="14" t="str">
        <v>Customer specified baseline component</v>
      </c>
      <c r="J21" s="14" t="str">
        <v>CANDIDATE DOCUMENT REVIEW: UNVERIFIED</v>
      </c>
      <c r="K21" s="14" t="str">
        <v>Standardizes baseline options with factory default cable and rail accessories for maximum factory assembly stability.</v>
      </c>
      <c r="L21" s="14" t="str">
        <v>LOCAL_RULE_CHECKED; PORTAL VALIDATION PENDING</v>
      </c>
    </row>
    <row r="22">
      <c r="A22" s="15" t="str">
        <v>P74694-B21</v>
      </c>
      <c r="B22" s="19">
        <v>1</v>
      </c>
      <c r="C22" s="19">
        <v>20</v>
      </c>
      <c r="D22" s="19">
        <f>B22*C22</f>
        <v>20</v>
      </c>
      <c r="E22" s="16" t="str">
        <v>HPE ProLiant Compute DL380a Gen12 OCPA Cable Kit</v>
      </c>
      <c r="F22" s="16" t="str">
        <v>Cable Kit</v>
      </c>
      <c r="G22" s="20">
        <v>75</v>
      </c>
      <c r="H22" s="20">
        <f>D22*G22</f>
        <v>1500</v>
      </c>
      <c r="I22" s="16" t="str">
        <v>Customer specified baseline component</v>
      </c>
      <c r="J22" s="16" t="str">
        <v>CANDIDATE DOCUMENT REVIEW: UNVERIFIED</v>
      </c>
      <c r="K22" s="16" t="str">
        <v>Standardizes baseline options with factory default cable and rail accessories for maximum factory assembly stability.</v>
      </c>
      <c r="L22" s="16" t="str">
        <v>LOCAL_RULE_CHECKED; PORTAL VALIDATION PENDING</v>
      </c>
    </row>
    <row r="23">
      <c r="A23" s="13" t="str">
        <v>P74700-B21</v>
      </c>
      <c r="B23" s="21">
        <v>4</v>
      </c>
      <c r="C23" s="21">
        <v>20</v>
      </c>
      <c r="D23" s="21">
        <f>B23*C23</f>
        <v>80</v>
      </c>
      <c r="E23" s="14" t="str">
        <v>HPE ProLiant Compute DL380a Gen12 GPU 16-pin FIO Cable Kit</v>
      </c>
      <c r="F23" s="14" t="str">
        <v>Cable Kit</v>
      </c>
      <c r="G23" s="22">
        <v>0</v>
      </c>
      <c r="H23" s="22">
        <f>D23*G23</f>
        <v>0</v>
      </c>
      <c r="I23" s="14" t="str">
        <v>Customer specified baseline component</v>
      </c>
      <c r="J23" s="14" t="str">
        <v>CANDIDATE DOCUMENT REVIEW: UNVERIFIED</v>
      </c>
      <c r="K23" s="14" t="str">
        <v>Standardizes baseline options with factory default cable and rail accessories for maximum factory assembly stability.</v>
      </c>
      <c r="L23" s="14" t="str">
        <v>LOCAL_RULE_CHECKED; PORTAL VALIDATION PENDING</v>
      </c>
    </row>
    <row r="24">
      <c r="A24" s="15" t="str">
        <v>P76700-B21</v>
      </c>
      <c r="B24" s="19">
        <v>1</v>
      </c>
      <c r="C24" s="19">
        <v>20</v>
      </c>
      <c r="D24" s="19">
        <f>B24*C24</f>
        <v>20</v>
      </c>
      <c r="E24" s="16" t="str">
        <v>HPE ProLiant Compute DL380a Gen12 NVMe to Tri-Mode PCIe FIO Cable Kit</v>
      </c>
      <c r="F24" s="16" t="str">
        <v>Cable Kit</v>
      </c>
      <c r="G24" s="20">
        <v>518</v>
      </c>
      <c r="H24" s="20">
        <f>D24*G24</f>
        <v>10360</v>
      </c>
      <c r="I24" s="16" t="str">
        <v>Customer specified baseline component</v>
      </c>
      <c r="J24" s="16" t="str">
        <v>CANDIDATE DOCUMENT REVIEW: UNVERIFIED</v>
      </c>
      <c r="K24" s="16" t="str">
        <v>Standardizes baseline options with factory default cable and rail accessories for maximum factory assembly stability.</v>
      </c>
      <c r="L24" s="16" t="str">
        <v>LOCAL_RULE_CHECKED; PORTAL VALIDATION PENDING</v>
      </c>
    </row>
    <row r="25">
      <c r="A25" s="13" t="str">
        <v>P79656-B21</v>
      </c>
      <c r="B25" s="21">
        <v>1</v>
      </c>
      <c r="C25" s="21">
        <v>20</v>
      </c>
      <c r="D25" s="21">
        <f>B25*C25</f>
        <v>20</v>
      </c>
      <c r="E25" s="14" t="str">
        <v>HPE ProLiant Compute DL380a Gen12 Front Chassis Fan Module Kit</v>
      </c>
      <c r="F25" s="14" t="str">
        <v>Cooling / Thermal</v>
      </c>
      <c r="G25" s="22">
        <v>712</v>
      </c>
      <c r="H25" s="22">
        <f>D25*G25</f>
        <v>14240</v>
      </c>
      <c r="I25" s="14" t="str">
        <v>Customer specified baseline component</v>
      </c>
      <c r="J25" s="14" t="str">
        <v>CANDIDATE DOCUMENT REVIEW: UNVERIFIED</v>
      </c>
      <c r="K25" s="14" t="str">
        <v>Standardizes baseline options with factory default cable and rail accessories for maximum factory assembly stability.</v>
      </c>
      <c r="L25" s="14" t="str">
        <v>LOCAL_RULE_CHECKED; PORTAL VALIDATION PENDING</v>
      </c>
    </row>
    <row r="26">
      <c r="A26" s="15" t="str">
        <v>P74911-B21</v>
      </c>
      <c r="B26" s="19">
        <v>1</v>
      </c>
      <c r="C26" s="19">
        <v>20</v>
      </c>
      <c r="D26" s="19">
        <f>B26*C26</f>
        <v>20</v>
      </c>
      <c r="E26" s="16" t="str">
        <v>HPE ProLiant Compute DL380a Gen12 4U Bezel Kit</v>
      </c>
      <c r="F26" s="16" t="str">
        <v>Chassis Infrastructure</v>
      </c>
      <c r="G26" s="20">
        <v>146</v>
      </c>
      <c r="H26" s="20">
        <f>D26*G26</f>
        <v>2920</v>
      </c>
      <c r="I26" s="16" t="str">
        <v>Customer specified baseline component</v>
      </c>
      <c r="J26" s="16" t="str">
        <v>CANDIDATE DOCUMENT REVIEW: UNVERIFIED</v>
      </c>
      <c r="K26" s="16" t="str">
        <v>Standardizes baseline options with factory default cable and rail accessories for maximum factory assembly stability.</v>
      </c>
      <c r="L26" s="16" t="str">
        <v>LOCAL_RULE_CHECKED; PORTAL VALIDATION PENDING</v>
      </c>
    </row>
    <row r="27">
      <c r="A27" s="13" t="str">
        <v>P69770-B21</v>
      </c>
      <c r="B27" s="21">
        <v>1</v>
      </c>
      <c r="C27" s="21">
        <v>20</v>
      </c>
      <c r="D27" s="21">
        <f>B27*C27</f>
        <v>20</v>
      </c>
      <c r="E27" s="14" t="str">
        <v>HPE ProLiant Compute DL380a Gen12 Ball Bearing Rail Kit</v>
      </c>
      <c r="F27" s="14" t="str">
        <v>Chassis Infrastructure</v>
      </c>
      <c r="G27" s="22">
        <v>950</v>
      </c>
      <c r="H27" s="22">
        <f>D27*G27</f>
        <v>19000</v>
      </c>
      <c r="I27" s="14" t="str">
        <v>Customer specified baseline component</v>
      </c>
      <c r="J27" s="14" t="str">
        <v>CANDIDATE DOCUMENT REVIEW: UNVERIFIED</v>
      </c>
      <c r="K27" s="14" t="str">
        <v>Standardizes baseline options with factory default cable and rail accessories for maximum factory assembly stability.</v>
      </c>
      <c r="L27" s="14" t="str">
        <v>LOCAL_RULE_CHECKED; PORTAL VALIDATION PENDING</v>
      </c>
    </row>
    <row r="28">
      <c r="A28" s="15" t="str">
        <v>P73325-B21</v>
      </c>
      <c r="B28" s="19">
        <v>1</v>
      </c>
      <c r="C28" s="19">
        <v>20</v>
      </c>
      <c r="D28" s="19">
        <f>B28*C28</f>
        <v>20</v>
      </c>
      <c r="E28" s="16" t="str">
        <v>HPE ProLiant Compute Localization FIO Kit</v>
      </c>
      <c r="F28" s="16" t="str">
        <v>Chassis Infrastructure</v>
      </c>
      <c r="G28" s="20">
        <v>4</v>
      </c>
      <c r="H28" s="20">
        <f>D28*G28</f>
        <v>80</v>
      </c>
      <c r="I28" s="16" t="str">
        <v>Customer specified baseline component</v>
      </c>
      <c r="J28" s="16" t="str">
        <v>CANDIDATE DOCUMENT REVIEW: UNVERIFIED</v>
      </c>
      <c r="K28" s="16" t="str">
        <v>Standardizes baseline options with factory default cable and rail accessories for maximum factory assembly stability.</v>
      </c>
      <c r="L28" s="16" t="str">
        <v>LOCAL_RULE_CHECKED; PORTAL VALIDATION PENDING</v>
      </c>
    </row>
    <row r="29">
      <c r="A29" s="13" t="str">
        <v>P75008-B21</v>
      </c>
      <c r="B29" s="21">
        <v>1</v>
      </c>
      <c r="C29" s="21">
        <v>20</v>
      </c>
      <c r="D29" s="21">
        <f>B29*C29</f>
        <v>20</v>
      </c>
      <c r="E29" s="14" t="str">
        <v>HPE ProLiant Compute DL380a Gen12 8 Double Wide/16 Single Wide FIO Configuration</v>
      </c>
      <c r="F29" s="14" t="str">
        <v>Base Hardware</v>
      </c>
      <c r="G29" s="22">
        <v>1</v>
      </c>
      <c r="H29" s="22">
        <f>D29*G29</f>
        <v>20</v>
      </c>
      <c r="I29" s="14" t="str">
        <v>Customer specified baseline component</v>
      </c>
      <c r="J29" s="14" t="str">
        <v>CANDIDATE DOCUMENT REVIEW: UNVERIFIED</v>
      </c>
      <c r="K29" s="14" t="str">
        <v>Standardizes baseline options with factory default cable and rail accessories for maximum factory assembly stability.</v>
      </c>
      <c r="L29" s="14" t="str">
        <v>LOCAL_RULE_CHECKED; PORTAL VALIDATION PENDING</v>
      </c>
    </row>
    <row r="30">
      <c r="A30" s="15" t="str">
        <v>P75284-B21</v>
      </c>
      <c r="B30" s="19">
        <v>1</v>
      </c>
      <c r="C30" s="19">
        <v>20</v>
      </c>
      <c r="D30" s="19">
        <f>B30*C30</f>
        <v>20</v>
      </c>
      <c r="E30" s="16" t="str">
        <v>HPE DL380a Gen12 NS204i-u Front Cage Kit</v>
      </c>
      <c r="F30" s="16" t="str">
        <v>Boot Device</v>
      </c>
      <c r="G30" s="20">
        <v>158</v>
      </c>
      <c r="H30" s="20">
        <f>D30*G30</f>
        <v>3160</v>
      </c>
      <c r="I30" s="16" t="str">
        <v>Customer specified baseline component</v>
      </c>
      <c r="J30" s="16" t="str">
        <v>CANDIDATE DOCUMENT REVIEW: UNVERIFIED</v>
      </c>
      <c r="K30" s="16" t="str">
        <v>Standardizes baseline options with factory default cable and rail accessories for maximum factory assembly stability.</v>
      </c>
      <c r="L30" s="16" t="str">
        <v>LOCAL_RULE_CHECKED; PORTAL VALIDATION PENDING</v>
      </c>
    </row>
    <row r="31">
      <c r="A31" s="13" t="str">
        <v>P79660-B21</v>
      </c>
      <c r="B31" s="21">
        <v>1</v>
      </c>
      <c r="C31" s="21">
        <v>20</v>
      </c>
      <c r="D31" s="21">
        <f>B31*C31</f>
        <v>20</v>
      </c>
      <c r="E31" s="14" t="str">
        <v>HPE ProLiant Compute DL380a Gen12 Front Panel Kit</v>
      </c>
      <c r="F31" s="14" t="str">
        <v>Base Hardware</v>
      </c>
      <c r="G31" s="22">
        <v>65</v>
      </c>
      <c r="H31" s="22">
        <f>D31*G31</f>
        <v>1300</v>
      </c>
      <c r="I31" s="14" t="str">
        <v>Customer specified baseline component</v>
      </c>
      <c r="J31" s="14" t="str">
        <v>CANDIDATE DOCUMENT REVIEW: UNVERIFIED</v>
      </c>
      <c r="K31" s="14" t="str">
        <v>Standardizes baseline options with factory default cable and rail accessories for maximum factory assembly stability.</v>
      </c>
      <c r="L31" s="14" t="str">
        <v>LOCAL_RULE_CHECKED; PORTAL VALIDATION PENDING</v>
      </c>
    </row>
    <row r="32">
      <c r="A32" s="15" t="str">
        <v>P81160-B21</v>
      </c>
      <c r="B32" s="19">
        <v>1</v>
      </c>
      <c r="C32" s="19">
        <v>20</v>
      </c>
      <c r="D32" s="19">
        <f>B32*C32</f>
        <v>20</v>
      </c>
      <c r="E32" s="16" t="str">
        <v>HPE NS204i-u v2 960GB NVMe Hot Plug Boot Optimized Storage Device</v>
      </c>
      <c r="F32" s="16" t="str">
        <v>Boot Device</v>
      </c>
      <c r="G32" s="20">
        <v>14299</v>
      </c>
      <c r="H32" s="20">
        <f>D32*G32</f>
        <v>285980</v>
      </c>
      <c r="I32" s="16" t="str">
        <v>Customer specified baseline component</v>
      </c>
      <c r="J32" s="16" t="str">
        <v>CANDIDATE DOCUMENT REVIEW: UNVERIFIED</v>
      </c>
      <c r="K32" s="16" t="str">
        <v>Standardizes baseline options with factory default cable and rail accessories for maximum factory assembly stability.</v>
      </c>
      <c r="L32" s="16" t="str">
        <v>LOCAL_RULE_CHECKED; PORTAL VALIDATION PENDING</v>
      </c>
    </row>
    <row r="33">
      <c r="A33" s="13" t="str">
        <v>S4A91C</v>
      </c>
      <c r="B33" s="21">
        <v>2</v>
      </c>
      <c r="C33" s="21">
        <v>20</v>
      </c>
      <c r="D33" s="21">
        <f>B33*C33</f>
        <v>40</v>
      </c>
      <c r="E33" s="14" t="str">
        <v>NVIDIA 4-way NVLink Bridge for H200 NVL</v>
      </c>
      <c r="F33" s="14" t="str">
        <v>Cable Kit</v>
      </c>
      <c r="G33" s="22">
        <v>0</v>
      </c>
      <c r="H33" s="22">
        <f>D33*G33</f>
        <v>0</v>
      </c>
      <c r="I33" s="14" t="str">
        <v>Customer specified baseline component</v>
      </c>
      <c r="J33" s="14" t="str">
        <v>CANDIDATE DOCUMENT REVIEW: UNVERIFIED</v>
      </c>
      <c r="K33" s="14" t="str">
        <v>Standardizes baseline options with factory default cable and rail accessories for maximum factory assembly stability.</v>
      </c>
      <c r="L33" s="14" t="str">
        <v>LOCAL_RULE_CHECKED; PORTAL VALIDATION PENDING</v>
      </c>
    </row>
    <row r="34">
      <c r="A34" s="15" t="str">
        <v>R7A11AAE</v>
      </c>
      <c r="B34" s="19">
        <v>1</v>
      </c>
      <c r="C34" s="19">
        <v>20</v>
      </c>
      <c r="D34" s="19">
        <f>B34*C34</f>
        <v>20</v>
      </c>
      <c r="E34" s="16" t="str">
        <v>HPE Compute Ops Management Standard 3-year Upfront ProLiant SaaS</v>
      </c>
      <c r="F34" s="16" t="str">
        <v>Base Hardware</v>
      </c>
      <c r="G34" s="20">
        <v>0</v>
      </c>
      <c r="H34" s="20">
        <f>D34*G34</f>
        <v>0</v>
      </c>
      <c r="I34" s="16" t="str">
        <v>Customer specified baseline component</v>
      </c>
      <c r="J34" s="16" t="str">
        <v>CANDIDATE DOCUMENT REVIEW: UNVERIFIED</v>
      </c>
      <c r="K34" s="16" t="str">
        <v>Standardizes baseline options with factory default cable and rail accessories for maximum factory assembly stability.</v>
      </c>
      <c r="L34" s="16" t="str">
        <v>LOCAL_RULE_CHECKED; PORTAL VALIDATION PENDING</v>
      </c>
    </row>
    <row r="35">
      <c r="A35" s="13" t="str">
        <v>HA113A1</v>
      </c>
      <c r="B35" s="21">
        <v>1</v>
      </c>
      <c r="C35" s="21">
        <v>20</v>
      </c>
      <c r="D35" s="21">
        <f>B35*C35</f>
        <v>21</v>
      </c>
      <c r="E35" s="14" t="str">
        <v>HPE Installation Service</v>
      </c>
      <c r="F35" s="14" t="str">
        <v>Service &amp; Support</v>
      </c>
      <c r="G35" s="22">
        <v>0</v>
      </c>
      <c r="H35" s="22">
        <f>D35*G35</f>
        <v>0</v>
      </c>
      <c r="I35" s="14" t="str">
        <v>Customer specified baseline component</v>
      </c>
      <c r="J35" s="14" t="str">
        <v>CANDIDATE DOCUMENT REVIEW: UNVERIFIED</v>
      </c>
      <c r="K35" s="14" t="str">
        <v>Standardizes baseline options with factory default cable and rail accessories for maximum factory assembly stability.</v>
      </c>
      <c r="L35" s="14" t="str">
        <v>LOCAL_RULE_CHECKED; PORTAL VALIDATION PENDING</v>
      </c>
    </row>
    <row r="36">
      <c r="A36" s="15" t="str">
        <v>HU4B2A3</v>
      </c>
      <c r="B36" s="19">
        <v>1</v>
      </c>
      <c r="C36" s="19">
        <v>1</v>
      </c>
      <c r="D36" s="19">
        <f>B36*C36</f>
        <v>1</v>
      </c>
      <c r="E36" s="16" t="str">
        <v>HPE 3Y Tech Care Basic Service</v>
      </c>
      <c r="F36" s="16" t="str">
        <v>Service &amp; Support</v>
      </c>
      <c r="G36" s="20">
        <v>0</v>
      </c>
      <c r="H36" s="20">
        <f>D36*G36</f>
        <v>0</v>
      </c>
      <c r="I36" s="16" t="str">
        <v>Customer specified baseline component</v>
      </c>
      <c r="J36" s="16" t="str">
        <v>CANDIDATE DOCUMENT REVIEW: UNVERIFIED</v>
      </c>
      <c r="K36" s="16" t="str">
        <v>Standardizes baseline options with factory default cable and rail accessories for maximum factory assembly stability.</v>
      </c>
      <c r="L36" s="16" t="str">
        <v>LOCAL_RULE_CHECKED; PORTAL VALIDATION PENDING</v>
      </c>
    </row>
    <row r="37">
      <c r="A37" s="13" t="str">
        <v>HU4B2A30C4W</v>
      </c>
      <c r="B37" s="21">
        <v>1</v>
      </c>
      <c r="C37" s="21">
        <v>20</v>
      </c>
      <c r="D37" s="21">
        <f>B37*C37</f>
        <v>20</v>
      </c>
      <c r="E37" s="14" t="str">
        <v>HPE HPE DL380a Gen12 Support</v>
      </c>
      <c r="F37" s="14" t="str">
        <v>Service &amp; Support</v>
      </c>
      <c r="G37" s="22">
        <v>0</v>
      </c>
      <c r="H37" s="22">
        <f>D37*G37</f>
        <v>0</v>
      </c>
      <c r="I37" s="14" t="str">
        <v>Customer specified baseline component</v>
      </c>
      <c r="J37" s="14" t="str">
        <v>CANDIDATE DOCUMENT REVIEW: UNVERIFIED</v>
      </c>
      <c r="K37" s="14" t="str">
        <v>Standardizes baseline options with factory default cable and rail accessories for maximum factory assembly stability.</v>
      </c>
      <c r="L37" s="14" t="str">
        <v>LOCAL_RULE_CHECKED; PORTAL VALIDATION PENDING</v>
      </c>
    </row>
    <row r="38">
      <c r="A38" s="15" t="str">
        <v>P76471-B21</v>
      </c>
      <c r="B38" s="19">
        <v>1</v>
      </c>
      <c r="C38" s="19">
        <v>1</v>
      </c>
      <c r="D38" s="19">
        <f>B38*C38</f>
        <v>1</v>
      </c>
      <c r="E38" s="16" t="str">
        <v>HPE DL380 Gen12 Standard Factory Cable/Rail Kit</v>
      </c>
      <c r="F38" s="16" t="str">
        <v>Factory CTO Standard</v>
      </c>
      <c r="G38" s="20">
        <v>0</v>
      </c>
      <c r="H38" s="20">
        <f>D38*G38</f>
        <v>0</v>
      </c>
      <c r="I38" s="16" t="str">
        <v>Customer specified baseline component</v>
      </c>
      <c r="J38" s="16" t="str">
        <v>CANDIDATE DOCUMENT REVIEW: UNVERIFIED</v>
      </c>
      <c r="K38" s="16" t="str">
        <v>Standardizes baseline options with factory default cable and rail accessories for maximum factory assembly stability.</v>
      </c>
      <c r="L38" s="16" t="str">
        <v>LOCAL_RULE_CHECKED; PORTAL VALIDATION PENDING</v>
      </c>
    </row>
    <row r="39">
      <c r="A39" s="23" t="str">
        <v>SUBTOTAL / ESTIMATED CAPEX</v>
      </c>
      <c r="B39" s="24" t="str">
        <v/>
      </c>
      <c r="C39" s="24" t="str">
        <v/>
      </c>
      <c r="D39" s="24" t="str">
        <v/>
      </c>
      <c r="E39" s="24" t="str">
        <v/>
      </c>
      <c r="F39" s="24" t="str">
        <v/>
      </c>
      <c r="G39" s="25" t="str">
        <v/>
      </c>
      <c r="H39" s="25">
        <f>SUM(H4:H38)</f>
        <v>29881860</v>
      </c>
      <c r="I39" s="24" t="str">
        <v>20 Node(s)</v>
      </c>
      <c r="J39" s="24" t="str">
        <v>CANDIDATE DOCUMENT REVIEW: UNVERIFIED</v>
      </c>
      <c r="K39" s="24" t="str">
        <v>LOCAL_RULE_CHECKED</v>
      </c>
      <c r="L39" s="24" t="str">
        <v>PORTAL VALIDATION PENDING</v>
      </c>
    </row>
  </sheetData>
  <ignoredErrors>
    <ignoredError numberStoredAsText="1" sqref="A1:L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cols>
    <col min="1" max="1" width="18.83203125" customWidth="1"/>
    <col min="2" max="2" width="14.83203125" customWidth="1"/>
    <col min="3" max="3" width="15.83203125" customWidth="1"/>
    <col min="4" max="4" width="12.83203125" customWidth="1"/>
    <col min="5" max="5" width="45.83203125" customWidth="1"/>
    <col min="6" max="6" width="22.83203125" customWidth="1"/>
    <col min="7" max="7" width="18.83203125" customWidth="1"/>
    <col min="8" max="8" width="20.83203125" customWidth="1"/>
    <col min="9" max="9" width="45.83203125" customWidth="1"/>
    <col min="10" max="10" width="35.83203125" customWidth="1"/>
    <col min="11" max="11" width="55.83203125" customWidth="1"/>
    <col min="12" max="12" width="25.83203125" customWidth="1"/>
  </cols>
  <sheetData>
    <row r="1">
      <c r="A1" s="17" t="str">
        <v>HPE SOLUTION SPECIFICATION — RANK 3: Rank 3: High-IOPS &amp; Storage Performance Optimized</v>
      </c>
    </row>
    <row r="2">
      <c r="A2" s="18" t="str">
        <v>Estimated CapEx: $2,98,81,860 | Alignment: 90% (Storage Heavy) | Server Nodes: 20</v>
      </c>
    </row>
    <row r="3">
      <c r="A3" s="6" t="str">
        <v>Part No</v>
      </c>
      <c r="B3" s="6" t="str">
        <v>Per-Node Qty</v>
      </c>
      <c r="C3" s="6" t="str">
        <v>Node Multiplier</v>
      </c>
      <c r="D3" s="6" t="str">
        <v>Total Qty</v>
      </c>
      <c r="E3" s="6" t="str">
        <v>Description</v>
      </c>
      <c r="F3" s="6" t="str">
        <v>Component Role</v>
      </c>
      <c r="G3" s="6" t="str">
        <v>Unit Price (USD)</v>
      </c>
      <c r="H3" s="6" t="str">
        <v>Extended Price (USD)</v>
      </c>
      <c r="I3" s="6" t="str">
        <v>Physical Math &amp; Rule Engine Rationale</v>
      </c>
      <c r="J3" s="6" t="str">
        <v>Gemini NotebookLM Badge</v>
      </c>
      <c r="K3" s="6" t="str">
        <v>Agentic Guardrail &amp; Evals Trace</v>
      </c>
      <c r="L3" s="6" t="str">
        <v>CLIC Status / Rule Trace</v>
      </c>
    </row>
    <row r="4">
      <c r="A4" s="15" t="str">
        <v>P76706-B21</v>
      </c>
      <c r="B4" s="19">
        <v>1</v>
      </c>
      <c r="C4" s="19">
        <v>20</v>
      </c>
      <c r="D4" s="19">
        <f>B4*C4</f>
        <v>20</v>
      </c>
      <c r="E4" s="16" t="str">
        <v>HPE ProLiant Compute DL380a Gen12 8 Double Wide/16 Single Wide Configure-to-order Server</v>
      </c>
      <c r="F4" s="16" t="str">
        <v>Base Chassis</v>
      </c>
      <c r="G4" s="20">
        <v>21407</v>
      </c>
      <c r="H4" s="20">
        <f>D4*G4</f>
        <v>428140</v>
      </c>
      <c r="I4" s="16" t="str">
        <v>Customer specified baseline component</v>
      </c>
      <c r="J4" s="16" t="str">
        <v>CANDIDATE DOCUMENT REVIEW: UNVERIFIED</v>
      </c>
      <c r="K4" s="16" t="str">
        <v>Upgrades storage write-cache and smart hybrid battery protection for enhanced transactional database read/write IOPS.</v>
      </c>
      <c r="L4" s="16" t="str">
        <v>LOCAL_RULE_CHECKED; PORTAL VALIDATION PENDING</v>
      </c>
    </row>
    <row r="5">
      <c r="A5" s="13" t="str">
        <v>P74571-B21</v>
      </c>
      <c r="B5" s="21">
        <v>2</v>
      </c>
      <c r="C5" s="21">
        <v>20</v>
      </c>
      <c r="D5" s="21">
        <f>B5*C5</f>
        <v>40</v>
      </c>
      <c r="E5" s="14" t="str">
        <v>Intel Xeon 6530P 2.3GHz 32-core 225W Processor for HPE</v>
      </c>
      <c r="F5" s="14" t="str">
        <v>Processor</v>
      </c>
      <c r="G5" s="22">
        <v>6830</v>
      </c>
      <c r="H5" s="22">
        <f>D5*G5</f>
        <v>273200</v>
      </c>
      <c r="I5" s="14" t="str">
        <v>Customer specified baseline component</v>
      </c>
      <c r="J5" s="14" t="str">
        <v>CANDIDATE DOCUMENT REVIEW: UNVERIFIED</v>
      </c>
      <c r="K5" s="14" t="str">
        <v>Upgrades storage write-cache and smart hybrid battery protection for enhanced transactional database read/write IOPS.</v>
      </c>
      <c r="L5" s="14" t="str">
        <v>LOCAL_RULE_CHECKED; PORTAL VALIDATION PENDING</v>
      </c>
    </row>
    <row r="6">
      <c r="A6" s="15" t="str">
        <v>P69728-F21</v>
      </c>
      <c r="B6" s="19">
        <v>8</v>
      </c>
      <c r="C6" s="19">
        <v>20</v>
      </c>
      <c r="D6" s="19">
        <f>B6*C6</f>
        <v>160</v>
      </c>
      <c r="E6" s="16" t="str">
        <v>HPE 64GB (1x64GB) Dual Rank x4 DDR5-6400 CAS-52-52-52 EC8 Registered Smart FIO Memory Kit</v>
      </c>
      <c r="F6" s="16" t="str">
        <v>Memory</v>
      </c>
      <c r="G6" s="20">
        <v>28532</v>
      </c>
      <c r="H6" s="20">
        <f>D6*G6</f>
        <v>4565120</v>
      </c>
      <c r="I6" s="16" t="str">
        <v>Customer specified baseline component</v>
      </c>
      <c r="J6" s="16" t="str">
        <v>CANDIDATE DOCUMENT REVIEW: UNVERIFIED</v>
      </c>
      <c r="K6" s="16" t="str">
        <v>Upgrades storage write-cache and smart hybrid battery protection for enhanced transactional database read/write IOPS.</v>
      </c>
      <c r="L6" s="16" t="str">
        <v>LOCAL_RULE_CHECKED; PORTAL VALIDATION PENDING</v>
      </c>
    </row>
    <row r="7">
      <c r="A7" s="13" t="str">
        <v>P74710-B21</v>
      </c>
      <c r="B7" s="21">
        <v>1</v>
      </c>
      <c r="C7" s="21">
        <v>20</v>
      </c>
      <c r="D7" s="21">
        <f>B7*C7</f>
        <v>20</v>
      </c>
      <c r="E7" s="14" t="str">
        <v>HPE ProLiant Compute DL380a Gen12 4SFF FIO Drive Cage Kit</v>
      </c>
      <c r="F7" s="14" t="str">
        <v>Drive Cage / Drive</v>
      </c>
      <c r="G7" s="22">
        <v>372</v>
      </c>
      <c r="H7" s="22">
        <f>D7*G7</f>
        <v>7440</v>
      </c>
      <c r="I7" s="14" t="str">
        <v>Customer specified baseline component</v>
      </c>
      <c r="J7" s="14" t="str">
        <v>CANDIDATE DOCUMENT REVIEW: UNVERIFIED</v>
      </c>
      <c r="K7" s="14" t="str">
        <v>Upgrades storage write-cache and smart hybrid battery protection for enhanced transactional database read/write IOPS.</v>
      </c>
      <c r="L7" s="14" t="str">
        <v>LOCAL_RULE_CHECKED; PORTAL VALIDATION PENDING</v>
      </c>
    </row>
    <row r="8">
      <c r="A8" s="15" t="str">
        <v>P70436-B21</v>
      </c>
      <c r="B8" s="19">
        <v>2</v>
      </c>
      <c r="C8" s="19">
        <v>20</v>
      </c>
      <c r="D8" s="19">
        <f>B8*C8</f>
        <v>40</v>
      </c>
      <c r="E8" s="16" t="str">
        <v>HPE 15.36TB NVMe Gen4 High Performance Read Intensive SFF BC U.3 PS1010 SSD</v>
      </c>
      <c r="F8" s="16" t="str">
        <v>Drive Cage / Drive</v>
      </c>
      <c r="G8" s="20">
        <v>131585</v>
      </c>
      <c r="H8" s="20">
        <f>D8*G8</f>
        <v>5263400</v>
      </c>
      <c r="I8" s="16" t="str">
        <v>Customer specified baseline component</v>
      </c>
      <c r="J8" s="16" t="str">
        <v>CANDIDATE DOCUMENT REVIEW: UNVERIFIED</v>
      </c>
      <c r="K8" s="16" t="str">
        <v>Upgrades storage write-cache and smart hybrid battery protection for enhanced transactional database read/write IOPS.</v>
      </c>
      <c r="L8" s="16" t="str">
        <v>LOCAL_RULE_CHECKED; PORTAL VALIDATION PENDING</v>
      </c>
    </row>
    <row r="9">
      <c r="A9" s="13" t="str">
        <v>P74690-B21</v>
      </c>
      <c r="B9" s="21">
        <v>1</v>
      </c>
      <c r="C9" s="21">
        <v>20</v>
      </c>
      <c r="D9" s="21">
        <f>B9*C9</f>
        <v>20</v>
      </c>
      <c r="E9" s="14" t="str">
        <v>HPE ProLiant Compute DL380a Gen12 PCIe Rear FIO Kit</v>
      </c>
      <c r="F9" s="14" t="str">
        <v>PCIe Riser</v>
      </c>
      <c r="G9" s="22">
        <v>988</v>
      </c>
      <c r="H9" s="22">
        <f>D9*G9</f>
        <v>19760</v>
      </c>
      <c r="I9" s="14" t="str">
        <v>Customer specified baseline component</v>
      </c>
      <c r="J9" s="14" t="str">
        <v>CANDIDATE DOCUMENT REVIEW: UNVERIFIED</v>
      </c>
      <c r="K9" s="14" t="str">
        <v>Upgrades storage write-cache and smart hybrid battery protection for enhanced transactional database read/write IOPS.</v>
      </c>
      <c r="L9" s="14" t="str">
        <v>LOCAL_RULE_CHECKED; PORTAL VALIDATION PENDING</v>
      </c>
    </row>
    <row r="10">
      <c r="A10" s="15" t="str">
        <v>P47777-B21</v>
      </c>
      <c r="B10" s="19">
        <v>1</v>
      </c>
      <c r="C10" s="19">
        <v>20</v>
      </c>
      <c r="D10" s="19">
        <f>B10*C10</f>
        <v>20</v>
      </c>
      <c r="E10" s="16" t="str">
        <v>HPE MR416i-p Gen11 x16 Lanes 8GB Cache PCI SPDM Plug-in Storage Controller</v>
      </c>
      <c r="F10" s="16" t="str">
        <v>Storage Controller</v>
      </c>
      <c r="G10" s="20">
        <v>5999</v>
      </c>
      <c r="H10" s="20">
        <f>D10*G10</f>
        <v>119980</v>
      </c>
      <c r="I10" s="16" t="str">
        <v>Customer specified baseline component</v>
      </c>
      <c r="J10" s="16" t="str">
        <v>CANDIDATE DOCUMENT REVIEW: UNVERIFIED</v>
      </c>
      <c r="K10" s="16" t="str">
        <v>Upgrades storage write-cache and smart hybrid battery protection for enhanced transactional database read/write IOPS.</v>
      </c>
      <c r="L10" s="16" t="str">
        <v>LOCAL_RULE_CHECKED; PORTAL VALIDATION PENDING</v>
      </c>
    </row>
    <row r="11">
      <c r="A11" s="13" t="str">
        <v>R2E09A</v>
      </c>
      <c r="B11" s="21">
        <v>1</v>
      </c>
      <c r="C11" s="21">
        <v>20</v>
      </c>
      <c r="D11" s="21">
        <f>B11*C11</f>
        <v>20</v>
      </c>
      <c r="E11" s="14" t="str">
        <v>HPE SN1610Q 32Gb 2-port Fibre Channel Host Bus Adapter</v>
      </c>
      <c r="F11" s="14" t="str">
        <v>Fibre Channel HBA</v>
      </c>
      <c r="G11" s="22">
        <v>0</v>
      </c>
      <c r="H11" s="22">
        <f>D11*G11</f>
        <v>0</v>
      </c>
      <c r="I11" s="14" t="str">
        <v>Customer specified baseline component</v>
      </c>
      <c r="J11" s="14" t="str">
        <v>CANDIDATE DOCUMENT REVIEW: UNVERIFIED</v>
      </c>
      <c r="K11" s="14" t="str">
        <v>Upgrades storage write-cache and smart hybrid battery protection for enhanced transactional database read/write IOPS.</v>
      </c>
      <c r="L11" s="14" t="str">
        <v>LOCAL_RULE_CHECKED; PORTAL VALIDATION PENDING</v>
      </c>
    </row>
    <row r="12">
      <c r="A12" s="15" t="str">
        <v>P26262-B21</v>
      </c>
      <c r="B12" s="19">
        <v>1</v>
      </c>
      <c r="C12" s="19">
        <v>20</v>
      </c>
      <c r="D12" s="19">
        <f>B12*C12</f>
        <v>20</v>
      </c>
      <c r="E12" s="16" t="str">
        <v>Broadcom BCM57414 Ethernet 10/25Gb 2-port SFP28 Adapter for HPE</v>
      </c>
      <c r="F12" s="16" t="str">
        <v>Network Adapter</v>
      </c>
      <c r="G12" s="20">
        <v>0</v>
      </c>
      <c r="H12" s="20">
        <f>D12*G12</f>
        <v>0</v>
      </c>
      <c r="I12" s="16" t="str">
        <v>Customer specified baseline component</v>
      </c>
      <c r="J12" s="16" t="str">
        <v>CANDIDATE DOCUMENT REVIEW: UNVERIFIED</v>
      </c>
      <c r="K12" s="16" t="str">
        <v>Upgrades storage write-cache and smart hybrid battery protection for enhanced transactional database read/write IOPS.</v>
      </c>
      <c r="L12" s="16" t="str">
        <v>LOCAL_RULE_CHECKED; PORTAL VALIDATION PENDING</v>
      </c>
    </row>
    <row r="13">
      <c r="A13" s="13" t="str">
        <v>P74714-B21</v>
      </c>
      <c r="B13" s="21">
        <v>2</v>
      </c>
      <c r="C13" s="21">
        <v>20</v>
      </c>
      <c r="D13" s="21">
        <f>B13*C13</f>
        <v>40</v>
      </c>
      <c r="E13" s="14" t="str">
        <v>HPE ProLiant Compute DL380a Gen12 Switchboard FIO Enablement Kit</v>
      </c>
      <c r="F13" s="14" t="str">
        <v>Cable Kit</v>
      </c>
      <c r="G13" s="22">
        <v>8890</v>
      </c>
      <c r="H13" s="22">
        <f>D13*G13</f>
        <v>355600</v>
      </c>
      <c r="I13" s="14" t="str">
        <v>Customer specified baseline component</v>
      </c>
      <c r="J13" s="14" t="str">
        <v>CANDIDATE DOCUMENT REVIEW: UNVERIFIED</v>
      </c>
      <c r="K13" s="14" t="str">
        <v>Upgrades storage write-cache and smart hybrid battery protection for enhanced transactional database read/write IOPS.</v>
      </c>
      <c r="L13" s="14" t="str">
        <v>LOCAL_RULE_CHECKED; PORTAL VALIDATION PENDING</v>
      </c>
    </row>
    <row r="14">
      <c r="A14" s="15" t="str">
        <v>S3U30C</v>
      </c>
      <c r="B14" s="19">
        <v>8</v>
      </c>
      <c r="C14" s="19">
        <v>20</v>
      </c>
      <c r="D14" s="19">
        <f>B14*C14</f>
        <v>160</v>
      </c>
      <c r="E14" s="16" t="str">
        <v>NVIDIA H200 NVL 141GB PCIe Accelerator for HPE</v>
      </c>
      <c r="F14" s="16" t="str">
        <v>GPU / Accelerator</v>
      </c>
      <c r="G14" s="20">
        <v>112579</v>
      </c>
      <c r="H14" s="20">
        <f>D14*G14</f>
        <v>18012640</v>
      </c>
      <c r="I14" s="16" t="str">
        <v>Customer specified baseline component</v>
      </c>
      <c r="J14" s="16" t="str">
        <v>CANDIDATE DOCUMENT REVIEW: UNVERIFIED</v>
      </c>
      <c r="K14" s="16" t="str">
        <v>Upgrades storage write-cache and smart hybrid battery protection for enhanced transactional database read/write IOPS.</v>
      </c>
      <c r="L14" s="16" t="str">
        <v>LOCAL_RULE_CHECKED; PORTAL VALIDATION PENDING</v>
      </c>
    </row>
    <row r="15">
      <c r="A15" s="13" t="str">
        <v>P01367-B21</v>
      </c>
      <c r="B15" s="21">
        <v>1</v>
      </c>
      <c r="C15" s="21">
        <v>20</v>
      </c>
      <c r="D15" s="21">
        <f>B15*C15</f>
        <v>20</v>
      </c>
      <c r="E15" s="14" t="str">
        <v>HPE 96W Smart Storage Lithium-ion Battery with 260mm Cable Kit</v>
      </c>
      <c r="F15" s="14" t="str">
        <v>Cable Kit</v>
      </c>
      <c r="G15" s="22">
        <v>140</v>
      </c>
      <c r="H15" s="22">
        <f>D15*G15</f>
        <v>2800</v>
      </c>
      <c r="I15" s="14" t="str">
        <v>Customer specified baseline component</v>
      </c>
      <c r="J15" s="14" t="str">
        <v>CANDIDATE DOCUMENT REVIEW: UNVERIFIED</v>
      </c>
      <c r="K15" s="14" t="str">
        <v>Upgrades storage write-cache and smart hybrid battery protection for enhanced transactional database read/write IOPS.</v>
      </c>
      <c r="L15" s="14" t="str">
        <v>LOCAL_RULE_CHECKED; PORTAL VALIDATION PENDING</v>
      </c>
    </row>
    <row r="16">
      <c r="A16" s="15" t="str">
        <v>845398-B21</v>
      </c>
      <c r="B16" s="19">
        <v>2</v>
      </c>
      <c r="C16" s="19">
        <v>20</v>
      </c>
      <c r="D16" s="19">
        <f>B16*C16</f>
        <v>40</v>
      </c>
      <c r="E16" s="16" t="str">
        <v>HPE 25Gb SFP28 SR 100m Transceiver</v>
      </c>
      <c r="F16" s="16" t="str">
        <v>Transceiver</v>
      </c>
      <c r="G16" s="20">
        <v>2110</v>
      </c>
      <c r="H16" s="20">
        <f>D16*G16</f>
        <v>84400</v>
      </c>
      <c r="I16" s="16" t="str">
        <v>Customer specified baseline component</v>
      </c>
      <c r="J16" s="16" t="str">
        <v>CANDIDATE DOCUMENT REVIEW: UNVERIFIED</v>
      </c>
      <c r="K16" s="16" t="str">
        <v>Upgrades storage write-cache and smart hybrid battery protection for enhanced transactional database read/write IOPS.</v>
      </c>
      <c r="L16" s="16" t="str">
        <v>LOCAL_RULE_CHECKED; PORTAL VALIDATION PENDING</v>
      </c>
    </row>
    <row r="17">
      <c r="A17" s="13" t="str">
        <v>P67252-B21</v>
      </c>
      <c r="B17" s="21">
        <v>8</v>
      </c>
      <c r="C17" s="21">
        <v>20</v>
      </c>
      <c r="D17" s="21">
        <f>B17*C17</f>
        <v>160</v>
      </c>
      <c r="E17" s="14" t="str">
        <v>HPE 2400W M-CRPS Titanium Hot Plug Power Supply Kit</v>
      </c>
      <c r="F17" s="14" t="str">
        <v>Power Supply</v>
      </c>
      <c r="G17" s="22">
        <v>2509</v>
      </c>
      <c r="H17" s="22">
        <f>D17*G17</f>
        <v>401440</v>
      </c>
      <c r="I17" s="14" t="str">
        <v>Customer specified baseline component</v>
      </c>
      <c r="J17" s="14" t="str">
        <v>CANDIDATE DOCUMENT REVIEW: UNVERIFIED</v>
      </c>
      <c r="K17" s="14" t="str">
        <v>Upgrades storage write-cache and smart hybrid battery protection for enhanced transactional database read/write IOPS.</v>
      </c>
      <c r="L17" s="14" t="str">
        <v>LOCAL_RULE_CHECKED; PORTAL VALIDATION PENDING</v>
      </c>
    </row>
    <row r="18">
      <c r="A18" s="15" t="str">
        <v>295633-B22</v>
      </c>
      <c r="B18" s="19">
        <v>5</v>
      </c>
      <c r="C18" s="19">
        <v>20</v>
      </c>
      <c r="D18" s="19">
        <f>B18*C18</f>
        <v>100</v>
      </c>
      <c r="E18" s="16" t="str">
        <v>HPE C19 - C20 WW 250V 16Amp 2.5m Jumper Cord</v>
      </c>
      <c r="F18" s="16" t="str">
        <v>Cable Kit</v>
      </c>
      <c r="G18" s="20">
        <v>0</v>
      </c>
      <c r="H18" s="20">
        <f>D18*G18</f>
        <v>0</v>
      </c>
      <c r="I18" s="16" t="str">
        <v>Customer specified baseline component</v>
      </c>
      <c r="J18" s="16" t="str">
        <v>CANDIDATE DOCUMENT REVIEW: UNVERIFIED</v>
      </c>
      <c r="K18" s="16" t="str">
        <v>Upgrades storage write-cache and smart hybrid battery protection for enhanced transactional database read/write IOPS.</v>
      </c>
      <c r="L18" s="16" t="str">
        <v>LOCAL_RULE_CHECKED; PORTAL VALIDATION PENDING</v>
      </c>
    </row>
    <row r="19">
      <c r="A19" s="13" t="str">
        <v>P78384-B21</v>
      </c>
      <c r="B19" s="21">
        <v>3</v>
      </c>
      <c r="C19" s="21">
        <v>20</v>
      </c>
      <c r="D19" s="21">
        <f>B19*C19</f>
        <v>60</v>
      </c>
      <c r="E19" s="14" t="str">
        <v>HPE C19 - C20 250V 16Amp 2.5m FIO Power Cord</v>
      </c>
      <c r="F19" s="14" t="str">
        <v>Cable Kit</v>
      </c>
      <c r="G19" s="22">
        <v>0</v>
      </c>
      <c r="H19" s="22">
        <f>D19*G19</f>
        <v>0</v>
      </c>
      <c r="I19" s="14" t="str">
        <v>Customer specified baseline component</v>
      </c>
      <c r="J19" s="14" t="str">
        <v>CANDIDATE DOCUMENT REVIEW: UNVERIFIED</v>
      </c>
      <c r="K19" s="14" t="str">
        <v>Upgrades storage write-cache and smart hybrid battery protection for enhanced transactional database read/write IOPS.</v>
      </c>
      <c r="L19" s="14" t="str">
        <v>LOCAL_RULE_CHECKED; PORTAL VALIDATION PENDING</v>
      </c>
    </row>
    <row r="20">
      <c r="A20" s="15" t="str">
        <v>BD505A</v>
      </c>
      <c r="B20" s="19">
        <v>1</v>
      </c>
      <c r="C20" s="19">
        <v>20</v>
      </c>
      <c r="D20" s="19">
        <f>B20*C20</f>
        <v>20</v>
      </c>
      <c r="E20" s="16" t="str">
        <v>HPE iLO Advanced 1-server License with 3yr Support on iLO Licensed Features</v>
      </c>
      <c r="F20" s="16" t="str">
        <v>Service &amp; Support</v>
      </c>
      <c r="G20" s="20">
        <v>469</v>
      </c>
      <c r="H20" s="20">
        <f>D20*G20</f>
        <v>9380</v>
      </c>
      <c r="I20" s="16" t="str">
        <v>Customer specified baseline component</v>
      </c>
      <c r="J20" s="16" t="str">
        <v>CANDIDATE DOCUMENT REVIEW: UNVERIFIED</v>
      </c>
      <c r="K20" s="16" t="str">
        <v>Upgrades storage write-cache and smart hybrid battery protection for enhanced transactional database read/write IOPS.</v>
      </c>
      <c r="L20" s="16" t="str">
        <v>LOCAL_RULE_CHECKED; PORTAL VALIDATION PENDING</v>
      </c>
    </row>
    <row r="21">
      <c r="A21" s="13" t="str">
        <v>S1A05A</v>
      </c>
      <c r="B21" s="21">
        <v>1</v>
      </c>
      <c r="C21" s="21">
        <v>20</v>
      </c>
      <c r="D21" s="21">
        <f>B21*C21</f>
        <v>20</v>
      </c>
      <c r="E21" s="14" t="str">
        <v>HPE Compute Cloud Management Server FIO Enablement</v>
      </c>
      <c r="F21" s="14" t="str">
        <v>Base Hardware</v>
      </c>
      <c r="G21" s="22">
        <v>0</v>
      </c>
      <c r="H21" s="22">
        <f>D21*G21</f>
        <v>0</v>
      </c>
      <c r="I21" s="14" t="str">
        <v>Customer specified baseline component</v>
      </c>
      <c r="J21" s="14" t="str">
        <v>CANDIDATE DOCUMENT REVIEW: UNVERIFIED</v>
      </c>
      <c r="K21" s="14" t="str">
        <v>Upgrades storage write-cache and smart hybrid battery protection for enhanced transactional database read/write IOPS.</v>
      </c>
      <c r="L21" s="14" t="str">
        <v>LOCAL_RULE_CHECKED; PORTAL VALIDATION PENDING</v>
      </c>
    </row>
    <row r="22">
      <c r="A22" s="15" t="str">
        <v>P74694-B21</v>
      </c>
      <c r="B22" s="19">
        <v>1</v>
      </c>
      <c r="C22" s="19">
        <v>20</v>
      </c>
      <c r="D22" s="19">
        <f>B22*C22</f>
        <v>20</v>
      </c>
      <c r="E22" s="16" t="str">
        <v>HPE ProLiant Compute DL380a Gen12 OCPA Cable Kit</v>
      </c>
      <c r="F22" s="16" t="str">
        <v>Cable Kit</v>
      </c>
      <c r="G22" s="20">
        <v>75</v>
      </c>
      <c r="H22" s="20">
        <f>D22*G22</f>
        <v>1500</v>
      </c>
      <c r="I22" s="16" t="str">
        <v>Customer specified baseline component</v>
      </c>
      <c r="J22" s="16" t="str">
        <v>CANDIDATE DOCUMENT REVIEW: UNVERIFIED</v>
      </c>
      <c r="K22" s="16" t="str">
        <v>Upgrades storage write-cache and smart hybrid battery protection for enhanced transactional database read/write IOPS.</v>
      </c>
      <c r="L22" s="16" t="str">
        <v>LOCAL_RULE_CHECKED; PORTAL VALIDATION PENDING</v>
      </c>
    </row>
    <row r="23">
      <c r="A23" s="13" t="str">
        <v>P74700-B21</v>
      </c>
      <c r="B23" s="21">
        <v>4</v>
      </c>
      <c r="C23" s="21">
        <v>20</v>
      </c>
      <c r="D23" s="21">
        <f>B23*C23</f>
        <v>80</v>
      </c>
      <c r="E23" s="14" t="str">
        <v>HPE ProLiant Compute DL380a Gen12 GPU 16-pin FIO Cable Kit</v>
      </c>
      <c r="F23" s="14" t="str">
        <v>Cable Kit</v>
      </c>
      <c r="G23" s="22">
        <v>0</v>
      </c>
      <c r="H23" s="22">
        <f>D23*G23</f>
        <v>0</v>
      </c>
      <c r="I23" s="14" t="str">
        <v>Customer specified baseline component</v>
      </c>
      <c r="J23" s="14" t="str">
        <v>CANDIDATE DOCUMENT REVIEW: UNVERIFIED</v>
      </c>
      <c r="K23" s="14" t="str">
        <v>Upgrades storage write-cache and smart hybrid battery protection for enhanced transactional database read/write IOPS.</v>
      </c>
      <c r="L23" s="14" t="str">
        <v>LOCAL_RULE_CHECKED; PORTAL VALIDATION PENDING</v>
      </c>
    </row>
    <row r="24">
      <c r="A24" s="15" t="str">
        <v>P76700-B21</v>
      </c>
      <c r="B24" s="19">
        <v>1</v>
      </c>
      <c r="C24" s="19">
        <v>20</v>
      </c>
      <c r="D24" s="19">
        <f>B24*C24</f>
        <v>20</v>
      </c>
      <c r="E24" s="16" t="str">
        <v>HPE ProLiant Compute DL380a Gen12 NVMe to Tri-Mode PCIe FIO Cable Kit</v>
      </c>
      <c r="F24" s="16" t="str">
        <v>Cable Kit</v>
      </c>
      <c r="G24" s="20">
        <v>518</v>
      </c>
      <c r="H24" s="20">
        <f>D24*G24</f>
        <v>10360</v>
      </c>
      <c r="I24" s="16" t="str">
        <v>Customer specified baseline component</v>
      </c>
      <c r="J24" s="16" t="str">
        <v>CANDIDATE DOCUMENT REVIEW: UNVERIFIED</v>
      </c>
      <c r="K24" s="16" t="str">
        <v>Upgrades storage write-cache and smart hybrid battery protection for enhanced transactional database read/write IOPS.</v>
      </c>
      <c r="L24" s="16" t="str">
        <v>LOCAL_RULE_CHECKED; PORTAL VALIDATION PENDING</v>
      </c>
    </row>
    <row r="25">
      <c r="A25" s="13" t="str">
        <v>P79656-B21</v>
      </c>
      <c r="B25" s="21">
        <v>1</v>
      </c>
      <c r="C25" s="21">
        <v>20</v>
      </c>
      <c r="D25" s="21">
        <f>B25*C25</f>
        <v>20</v>
      </c>
      <c r="E25" s="14" t="str">
        <v>HPE ProLiant Compute DL380a Gen12 Front Chassis Fan Module Kit</v>
      </c>
      <c r="F25" s="14" t="str">
        <v>Cooling / Thermal</v>
      </c>
      <c r="G25" s="22">
        <v>712</v>
      </c>
      <c r="H25" s="22">
        <f>D25*G25</f>
        <v>14240</v>
      </c>
      <c r="I25" s="14" t="str">
        <v>Customer specified baseline component</v>
      </c>
      <c r="J25" s="14" t="str">
        <v>CANDIDATE DOCUMENT REVIEW: UNVERIFIED</v>
      </c>
      <c r="K25" s="14" t="str">
        <v>Upgrades storage write-cache and smart hybrid battery protection for enhanced transactional database read/write IOPS.</v>
      </c>
      <c r="L25" s="14" t="str">
        <v>LOCAL_RULE_CHECKED; PORTAL VALIDATION PENDING</v>
      </c>
    </row>
    <row r="26">
      <c r="A26" s="15" t="str">
        <v>P74911-B21</v>
      </c>
      <c r="B26" s="19">
        <v>1</v>
      </c>
      <c r="C26" s="19">
        <v>20</v>
      </c>
      <c r="D26" s="19">
        <f>B26*C26</f>
        <v>20</v>
      </c>
      <c r="E26" s="16" t="str">
        <v>HPE ProLiant Compute DL380a Gen12 4U Bezel Kit</v>
      </c>
      <c r="F26" s="16" t="str">
        <v>Chassis Infrastructure</v>
      </c>
      <c r="G26" s="20">
        <v>146</v>
      </c>
      <c r="H26" s="20">
        <f>D26*G26</f>
        <v>2920</v>
      </c>
      <c r="I26" s="16" t="str">
        <v>Customer specified baseline component</v>
      </c>
      <c r="J26" s="16" t="str">
        <v>CANDIDATE DOCUMENT REVIEW: UNVERIFIED</v>
      </c>
      <c r="K26" s="16" t="str">
        <v>Upgrades storage write-cache and smart hybrid battery protection for enhanced transactional database read/write IOPS.</v>
      </c>
      <c r="L26" s="16" t="str">
        <v>LOCAL_RULE_CHECKED; PORTAL VALIDATION PENDING</v>
      </c>
    </row>
    <row r="27">
      <c r="A27" s="13" t="str">
        <v>P69770-B21</v>
      </c>
      <c r="B27" s="21">
        <v>1</v>
      </c>
      <c r="C27" s="21">
        <v>20</v>
      </c>
      <c r="D27" s="21">
        <f>B27*C27</f>
        <v>20</v>
      </c>
      <c r="E27" s="14" t="str">
        <v>HPE ProLiant Compute DL380a Gen12 Ball Bearing Rail Kit</v>
      </c>
      <c r="F27" s="14" t="str">
        <v>Chassis Infrastructure</v>
      </c>
      <c r="G27" s="22">
        <v>950</v>
      </c>
      <c r="H27" s="22">
        <f>D27*G27</f>
        <v>19000</v>
      </c>
      <c r="I27" s="14" t="str">
        <v>Customer specified baseline component</v>
      </c>
      <c r="J27" s="14" t="str">
        <v>CANDIDATE DOCUMENT REVIEW: UNVERIFIED</v>
      </c>
      <c r="K27" s="14" t="str">
        <v>Upgrades storage write-cache and smart hybrid battery protection for enhanced transactional database read/write IOPS.</v>
      </c>
      <c r="L27" s="14" t="str">
        <v>LOCAL_RULE_CHECKED; PORTAL VALIDATION PENDING</v>
      </c>
    </row>
    <row r="28">
      <c r="A28" s="15" t="str">
        <v>P73325-B21</v>
      </c>
      <c r="B28" s="19">
        <v>1</v>
      </c>
      <c r="C28" s="19">
        <v>20</v>
      </c>
      <c r="D28" s="19">
        <f>B28*C28</f>
        <v>20</v>
      </c>
      <c r="E28" s="16" t="str">
        <v>HPE ProLiant Compute Localization FIO Kit</v>
      </c>
      <c r="F28" s="16" t="str">
        <v>Chassis Infrastructure</v>
      </c>
      <c r="G28" s="20">
        <v>4</v>
      </c>
      <c r="H28" s="20">
        <f>D28*G28</f>
        <v>80</v>
      </c>
      <c r="I28" s="16" t="str">
        <v>Customer specified baseline component</v>
      </c>
      <c r="J28" s="16" t="str">
        <v>CANDIDATE DOCUMENT REVIEW: UNVERIFIED</v>
      </c>
      <c r="K28" s="16" t="str">
        <v>Upgrades storage write-cache and smart hybrid battery protection for enhanced transactional database read/write IOPS.</v>
      </c>
      <c r="L28" s="16" t="str">
        <v>LOCAL_RULE_CHECKED; PORTAL VALIDATION PENDING</v>
      </c>
    </row>
    <row r="29">
      <c r="A29" s="13" t="str">
        <v>P75008-B21</v>
      </c>
      <c r="B29" s="21">
        <v>1</v>
      </c>
      <c r="C29" s="21">
        <v>20</v>
      </c>
      <c r="D29" s="21">
        <f>B29*C29</f>
        <v>20</v>
      </c>
      <c r="E29" s="14" t="str">
        <v>HPE ProLiant Compute DL380a Gen12 8 Double Wide/16 Single Wide FIO Configuration</v>
      </c>
      <c r="F29" s="14" t="str">
        <v>Base Hardware</v>
      </c>
      <c r="G29" s="22">
        <v>1</v>
      </c>
      <c r="H29" s="22">
        <f>D29*G29</f>
        <v>20</v>
      </c>
      <c r="I29" s="14" t="str">
        <v>Customer specified baseline component</v>
      </c>
      <c r="J29" s="14" t="str">
        <v>CANDIDATE DOCUMENT REVIEW: UNVERIFIED</v>
      </c>
      <c r="K29" s="14" t="str">
        <v>Upgrades storage write-cache and smart hybrid battery protection for enhanced transactional database read/write IOPS.</v>
      </c>
      <c r="L29" s="14" t="str">
        <v>LOCAL_RULE_CHECKED; PORTAL VALIDATION PENDING</v>
      </c>
    </row>
    <row r="30">
      <c r="A30" s="15" t="str">
        <v>P75284-B21</v>
      </c>
      <c r="B30" s="19">
        <v>1</v>
      </c>
      <c r="C30" s="19">
        <v>20</v>
      </c>
      <c r="D30" s="19">
        <f>B30*C30</f>
        <v>20</v>
      </c>
      <c r="E30" s="16" t="str">
        <v>HPE DL380a Gen12 NS204i-u Front Cage Kit</v>
      </c>
      <c r="F30" s="16" t="str">
        <v>Boot Device</v>
      </c>
      <c r="G30" s="20">
        <v>158</v>
      </c>
      <c r="H30" s="20">
        <f>D30*G30</f>
        <v>3160</v>
      </c>
      <c r="I30" s="16" t="str">
        <v>Customer specified baseline component</v>
      </c>
      <c r="J30" s="16" t="str">
        <v>CANDIDATE DOCUMENT REVIEW: UNVERIFIED</v>
      </c>
      <c r="K30" s="16" t="str">
        <v>Upgrades storage write-cache and smart hybrid battery protection for enhanced transactional database read/write IOPS.</v>
      </c>
      <c r="L30" s="16" t="str">
        <v>LOCAL_RULE_CHECKED; PORTAL VALIDATION PENDING</v>
      </c>
    </row>
    <row r="31">
      <c r="A31" s="13" t="str">
        <v>P79660-B21</v>
      </c>
      <c r="B31" s="21">
        <v>1</v>
      </c>
      <c r="C31" s="21">
        <v>20</v>
      </c>
      <c r="D31" s="21">
        <f>B31*C31</f>
        <v>20</v>
      </c>
      <c r="E31" s="14" t="str">
        <v>HPE ProLiant Compute DL380a Gen12 Front Panel Kit</v>
      </c>
      <c r="F31" s="14" t="str">
        <v>Base Hardware</v>
      </c>
      <c r="G31" s="22">
        <v>65</v>
      </c>
      <c r="H31" s="22">
        <f>D31*G31</f>
        <v>1300</v>
      </c>
      <c r="I31" s="14" t="str">
        <v>Customer specified baseline component</v>
      </c>
      <c r="J31" s="14" t="str">
        <v>CANDIDATE DOCUMENT REVIEW: UNVERIFIED</v>
      </c>
      <c r="K31" s="14" t="str">
        <v>Upgrades storage write-cache and smart hybrid battery protection for enhanced transactional database read/write IOPS.</v>
      </c>
      <c r="L31" s="14" t="str">
        <v>LOCAL_RULE_CHECKED; PORTAL VALIDATION PENDING</v>
      </c>
    </row>
    <row r="32">
      <c r="A32" s="15" t="str">
        <v>P81160-B21</v>
      </c>
      <c r="B32" s="19">
        <v>1</v>
      </c>
      <c r="C32" s="19">
        <v>20</v>
      </c>
      <c r="D32" s="19">
        <f>B32*C32</f>
        <v>20</v>
      </c>
      <c r="E32" s="16" t="str">
        <v>HPE NS204i-u v2 960GB NVMe Hot Plug Boot Optimized Storage Device</v>
      </c>
      <c r="F32" s="16" t="str">
        <v>Boot Device</v>
      </c>
      <c r="G32" s="20">
        <v>14299</v>
      </c>
      <c r="H32" s="20">
        <f>D32*G32</f>
        <v>285980</v>
      </c>
      <c r="I32" s="16" t="str">
        <v>Customer specified baseline component</v>
      </c>
      <c r="J32" s="16" t="str">
        <v>CANDIDATE DOCUMENT REVIEW: UNVERIFIED</v>
      </c>
      <c r="K32" s="16" t="str">
        <v>Upgrades storage write-cache and smart hybrid battery protection for enhanced transactional database read/write IOPS.</v>
      </c>
      <c r="L32" s="16" t="str">
        <v>LOCAL_RULE_CHECKED; PORTAL VALIDATION PENDING</v>
      </c>
    </row>
    <row r="33">
      <c r="A33" s="13" t="str">
        <v>S4A91C</v>
      </c>
      <c r="B33" s="21">
        <v>2</v>
      </c>
      <c r="C33" s="21">
        <v>20</v>
      </c>
      <c r="D33" s="21">
        <f>B33*C33</f>
        <v>40</v>
      </c>
      <c r="E33" s="14" t="str">
        <v>NVIDIA 4-way NVLink Bridge for H200 NVL</v>
      </c>
      <c r="F33" s="14" t="str">
        <v>Cable Kit</v>
      </c>
      <c r="G33" s="22">
        <v>0</v>
      </c>
      <c r="H33" s="22">
        <f>D33*G33</f>
        <v>0</v>
      </c>
      <c r="I33" s="14" t="str">
        <v>Customer specified baseline component</v>
      </c>
      <c r="J33" s="14" t="str">
        <v>CANDIDATE DOCUMENT REVIEW: UNVERIFIED</v>
      </c>
      <c r="K33" s="14" t="str">
        <v>Upgrades storage write-cache and smart hybrid battery protection for enhanced transactional database read/write IOPS.</v>
      </c>
      <c r="L33" s="14" t="str">
        <v>LOCAL_RULE_CHECKED; PORTAL VALIDATION PENDING</v>
      </c>
    </row>
    <row r="34">
      <c r="A34" s="15" t="str">
        <v>R7A11AAE</v>
      </c>
      <c r="B34" s="19">
        <v>1</v>
      </c>
      <c r="C34" s="19">
        <v>20</v>
      </c>
      <c r="D34" s="19">
        <f>B34*C34</f>
        <v>20</v>
      </c>
      <c r="E34" s="16" t="str">
        <v>HPE Compute Ops Management Standard 3-year Upfront ProLiant SaaS</v>
      </c>
      <c r="F34" s="16" t="str">
        <v>Base Hardware</v>
      </c>
      <c r="G34" s="20">
        <v>0</v>
      </c>
      <c r="H34" s="20">
        <f>D34*G34</f>
        <v>0</v>
      </c>
      <c r="I34" s="16" t="str">
        <v>Customer specified baseline component</v>
      </c>
      <c r="J34" s="16" t="str">
        <v>CANDIDATE DOCUMENT REVIEW: UNVERIFIED</v>
      </c>
      <c r="K34" s="16" t="str">
        <v>Upgrades storage write-cache and smart hybrid battery protection for enhanced transactional database read/write IOPS.</v>
      </c>
      <c r="L34" s="16" t="str">
        <v>LOCAL_RULE_CHECKED; PORTAL VALIDATION PENDING</v>
      </c>
    </row>
    <row r="35">
      <c r="A35" s="13" t="str">
        <v>HA113A1</v>
      </c>
      <c r="B35" s="21">
        <v>1</v>
      </c>
      <c r="C35" s="21">
        <v>20</v>
      </c>
      <c r="D35" s="21">
        <f>B35*C35</f>
        <v>21</v>
      </c>
      <c r="E35" s="14" t="str">
        <v>HPE Installation Service</v>
      </c>
      <c r="F35" s="14" t="str">
        <v>Service &amp; Support</v>
      </c>
      <c r="G35" s="22">
        <v>0</v>
      </c>
      <c r="H35" s="22">
        <f>D35*G35</f>
        <v>0</v>
      </c>
      <c r="I35" s="14" t="str">
        <v>Customer specified baseline component</v>
      </c>
      <c r="J35" s="14" t="str">
        <v>CANDIDATE DOCUMENT REVIEW: UNVERIFIED</v>
      </c>
      <c r="K35" s="14" t="str">
        <v>Upgrades storage write-cache and smart hybrid battery protection for enhanced transactional database read/write IOPS.</v>
      </c>
      <c r="L35" s="14" t="str">
        <v>LOCAL_RULE_CHECKED; PORTAL VALIDATION PENDING</v>
      </c>
    </row>
    <row r="36">
      <c r="A36" s="15" t="str">
        <v>HU4B2A3</v>
      </c>
      <c r="B36" s="19">
        <v>1</v>
      </c>
      <c r="C36" s="19">
        <v>1</v>
      </c>
      <c r="D36" s="19">
        <f>B36*C36</f>
        <v>1</v>
      </c>
      <c r="E36" s="16" t="str">
        <v>HPE 3Y Tech Care Basic Service</v>
      </c>
      <c r="F36" s="16" t="str">
        <v>Service &amp; Support</v>
      </c>
      <c r="G36" s="20">
        <v>0</v>
      </c>
      <c r="H36" s="20">
        <f>D36*G36</f>
        <v>0</v>
      </c>
      <c r="I36" s="16" t="str">
        <v>Customer specified baseline component</v>
      </c>
      <c r="J36" s="16" t="str">
        <v>CANDIDATE DOCUMENT REVIEW: UNVERIFIED</v>
      </c>
      <c r="K36" s="16" t="str">
        <v>Upgrades storage write-cache and smart hybrid battery protection for enhanced transactional database read/write IOPS.</v>
      </c>
      <c r="L36" s="16" t="str">
        <v>LOCAL_RULE_CHECKED; PORTAL VALIDATION PENDING</v>
      </c>
    </row>
    <row r="37">
      <c r="A37" s="13" t="str">
        <v>HU4B2A30C4W</v>
      </c>
      <c r="B37" s="21">
        <v>1</v>
      </c>
      <c r="C37" s="21">
        <v>20</v>
      </c>
      <c r="D37" s="21">
        <f>B37*C37</f>
        <v>20</v>
      </c>
      <c r="E37" s="14" t="str">
        <v>HPE HPE DL380a Gen12 Support</v>
      </c>
      <c r="F37" s="14" t="str">
        <v>Service &amp; Support</v>
      </c>
      <c r="G37" s="22">
        <v>0</v>
      </c>
      <c r="H37" s="22">
        <f>D37*G37</f>
        <v>0</v>
      </c>
      <c r="I37" s="14" t="str">
        <v>Customer specified baseline component</v>
      </c>
      <c r="J37" s="14" t="str">
        <v>CANDIDATE DOCUMENT REVIEW: UNVERIFIED</v>
      </c>
      <c r="K37" s="14" t="str">
        <v>Upgrades storage write-cache and smart hybrid battery protection for enhanced transactional database read/write IOPS.</v>
      </c>
      <c r="L37" s="14" t="str">
        <v>LOCAL_RULE_CHECKED; PORTAL VALIDATION PENDING</v>
      </c>
    </row>
    <row r="38">
      <c r="A38" s="15" t="str">
        <v>P01366-B21</v>
      </c>
      <c r="B38" s="19">
        <v>1</v>
      </c>
      <c r="C38" s="19">
        <v>1</v>
      </c>
      <c r="D38" s="19">
        <f>B38*C38</f>
        <v>1</v>
      </c>
      <c r="E38" s="16" t="str">
        <v>HPE Smart Storage Hybrid Capacitor Battery with 145mm Cable</v>
      </c>
      <c r="F38" s="16" t="str">
        <v>Storage Performance</v>
      </c>
      <c r="G38" s="20">
        <v>0</v>
      </c>
      <c r="H38" s="20">
        <f>D38*G38</f>
        <v>0</v>
      </c>
      <c r="I38" s="16" t="str">
        <v>Customer specified baseline component</v>
      </c>
      <c r="J38" s="16" t="str">
        <v>CANDIDATE DOCUMENT REVIEW: UNVERIFIED</v>
      </c>
      <c r="K38" s="16" t="str">
        <v>Upgrades storage write-cache and smart hybrid battery protection for enhanced transactional database read/write IOPS.</v>
      </c>
      <c r="L38" s="16" t="str">
        <v>LOCAL_RULE_CHECKED; PORTAL VALIDATION PENDING</v>
      </c>
    </row>
    <row r="39">
      <c r="A39" s="13" t="str">
        <v>P49025-B21</v>
      </c>
      <c r="B39" s="21">
        <v>1</v>
      </c>
      <c r="C39" s="21">
        <v>1</v>
      </c>
      <c r="D39" s="21">
        <f>B39*C39</f>
        <v>1</v>
      </c>
      <c r="E39" s="14" t="str">
        <v>HPE 4GB Cache High-IOPS Controller Cache Expansion</v>
      </c>
      <c r="F39" s="14" t="str">
        <v>Storage Performance</v>
      </c>
      <c r="G39" s="22">
        <v>0</v>
      </c>
      <c r="H39" s="22">
        <f>D39*G39</f>
        <v>0</v>
      </c>
      <c r="I39" s="14" t="str">
        <v>Customer specified baseline component</v>
      </c>
      <c r="J39" s="14" t="str">
        <v>CANDIDATE DOCUMENT REVIEW: UNVERIFIED</v>
      </c>
      <c r="K39" s="14" t="str">
        <v>Upgrades storage write-cache and smart hybrid battery protection for enhanced transactional database read/write IOPS.</v>
      </c>
      <c r="L39" s="14" t="str">
        <v>LOCAL_RULE_CHECKED; PORTAL VALIDATION PENDING</v>
      </c>
    </row>
    <row r="40">
      <c r="A40" s="23" t="str">
        <v>SUBTOTAL / ESTIMATED CAPEX</v>
      </c>
      <c r="B40" s="24" t="str">
        <v/>
      </c>
      <c r="C40" s="24" t="str">
        <v/>
      </c>
      <c r="D40" s="24" t="str">
        <v/>
      </c>
      <c r="E40" s="24" t="str">
        <v/>
      </c>
      <c r="F40" s="24" t="str">
        <v/>
      </c>
      <c r="G40" s="25" t="str">
        <v/>
      </c>
      <c r="H40" s="25">
        <f>SUM(H4:H39)</f>
        <v>29881860</v>
      </c>
      <c r="I40" s="24" t="str">
        <v>20 Node(s)</v>
      </c>
      <c r="J40" s="24" t="str">
        <v>CANDIDATE DOCUMENT REVIEW: UNVERIFIED</v>
      </c>
      <c r="K40" s="24" t="str">
        <v>LOCAL_RULE_CHECKED</v>
      </c>
      <c r="L40" s="24" t="str">
        <v>PORTAL VALIDATION PENDING</v>
      </c>
    </row>
  </sheetData>
  <ignoredErrors>
    <ignoredError numberStoredAsText="1" sqref="A1:L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cols>
    <col min="1" max="1" width="18.83203125" customWidth="1"/>
    <col min="2" max="2" width="14.83203125" customWidth="1"/>
    <col min="3" max="3" width="15.83203125" customWidth="1"/>
    <col min="4" max="4" width="12.83203125" customWidth="1"/>
    <col min="5" max="5" width="45.83203125" customWidth="1"/>
    <col min="6" max="6" width="22.83203125" customWidth="1"/>
    <col min="7" max="7" width="18.83203125" customWidth="1"/>
    <col min="8" max="8" width="20.83203125" customWidth="1"/>
    <col min="9" max="9" width="45.83203125" customWidth="1"/>
    <col min="10" max="10" width="35.83203125" customWidth="1"/>
    <col min="11" max="11" width="55.83203125" customWidth="1"/>
    <col min="12" max="12" width="25.83203125" customWidth="1"/>
  </cols>
  <sheetData>
    <row r="1">
      <c r="A1" s="17" t="str">
        <v>HPE SOLUTION SPECIFICATION — RANK 4: Rank 4: Maximum Density &amp; Future Scalability Expansion</v>
      </c>
    </row>
    <row r="2">
      <c r="A2" s="18" t="str">
        <v>Estimated CapEx: $2,98,81,860 | Alignment: 85% (Scalability Focused) | Server Nodes: 20</v>
      </c>
    </row>
    <row r="3">
      <c r="A3" s="6" t="str">
        <v>Part No</v>
      </c>
      <c r="B3" s="6" t="str">
        <v>Per-Node Qty</v>
      </c>
      <c r="C3" s="6" t="str">
        <v>Node Multiplier</v>
      </c>
      <c r="D3" s="6" t="str">
        <v>Total Qty</v>
      </c>
      <c r="E3" s="6" t="str">
        <v>Description</v>
      </c>
      <c r="F3" s="6" t="str">
        <v>Component Role</v>
      </c>
      <c r="G3" s="6" t="str">
        <v>Unit Price (USD)</v>
      </c>
      <c r="H3" s="6" t="str">
        <v>Extended Price (USD)</v>
      </c>
      <c r="I3" s="6" t="str">
        <v>Physical Math &amp; Rule Engine Rationale</v>
      </c>
      <c r="J3" s="6" t="str">
        <v>Gemini NotebookLM Badge</v>
      </c>
      <c r="K3" s="6" t="str">
        <v>Agentic Guardrail &amp; Evals Trace</v>
      </c>
      <c r="L3" s="6" t="str">
        <v>CLIC Status / Rule Trace</v>
      </c>
    </row>
    <row r="4">
      <c r="A4" s="15" t="str">
        <v>P76706-B21</v>
      </c>
      <c r="B4" s="19">
        <v>1</v>
      </c>
      <c r="C4" s="19">
        <v>20</v>
      </c>
      <c r="D4" s="19">
        <f>B4*C4</f>
        <v>20</v>
      </c>
      <c r="E4" s="16" t="str">
        <v>HPE ProLiant Compute DL380a Gen12 8 Double Wide/16 Single Wide Configure-to-order Server</v>
      </c>
      <c r="F4" s="16" t="str">
        <v>Base Chassis</v>
      </c>
      <c r="G4" s="20">
        <v>21407</v>
      </c>
      <c r="H4" s="20">
        <f>D4*G4</f>
        <v>428140</v>
      </c>
      <c r="I4" s="16" t="str">
        <v>Customer specified baseline component</v>
      </c>
      <c r="J4" s="16" t="str">
        <v>CANDIDATE DOCUMENT REVIEW: UNVERIFIED</v>
      </c>
      <c r="K4" s="16" t="str">
        <v>Populates full secondary PCIe riser slots and high-performance fan kits to support future GPU accelerator and 2nd CPU socket expansions.</v>
      </c>
      <c r="L4" s="16" t="str">
        <v>LOCAL_RULE_CHECKED; PORTAL VALIDATION PENDING</v>
      </c>
    </row>
    <row r="5">
      <c r="A5" s="13" t="str">
        <v>P74571-B21</v>
      </c>
      <c r="B5" s="21">
        <v>2</v>
      </c>
      <c r="C5" s="21">
        <v>20</v>
      </c>
      <c r="D5" s="21">
        <f>B5*C5</f>
        <v>40</v>
      </c>
      <c r="E5" s="14" t="str">
        <v>Intel Xeon 6530P 2.3GHz 32-core 225W Processor for HPE</v>
      </c>
      <c r="F5" s="14" t="str">
        <v>Processor</v>
      </c>
      <c r="G5" s="22">
        <v>6830</v>
      </c>
      <c r="H5" s="22">
        <f>D5*G5</f>
        <v>273200</v>
      </c>
      <c r="I5" s="14" t="str">
        <v>Customer specified baseline component</v>
      </c>
      <c r="J5" s="14" t="str">
        <v>CANDIDATE DOCUMENT REVIEW: UNVERIFIED</v>
      </c>
      <c r="K5" s="14" t="str">
        <v>Populates full secondary PCIe riser slots and high-performance fan kits to support future GPU accelerator and 2nd CPU socket expansions.</v>
      </c>
      <c r="L5" s="14" t="str">
        <v>LOCAL_RULE_CHECKED; PORTAL VALIDATION PENDING</v>
      </c>
    </row>
    <row r="6">
      <c r="A6" s="15" t="str">
        <v>P69728-F21</v>
      </c>
      <c r="B6" s="19">
        <v>8</v>
      </c>
      <c r="C6" s="19">
        <v>20</v>
      </c>
      <c r="D6" s="19">
        <f>B6*C6</f>
        <v>160</v>
      </c>
      <c r="E6" s="16" t="str">
        <v>HPE 64GB (1x64GB) Dual Rank x4 DDR5-6400 CAS-52-52-52 EC8 Registered Smart FIO Memory Kit</v>
      </c>
      <c r="F6" s="16" t="str">
        <v>Memory</v>
      </c>
      <c r="G6" s="20">
        <v>28532</v>
      </c>
      <c r="H6" s="20">
        <f>D6*G6</f>
        <v>4565120</v>
      </c>
      <c r="I6" s="16" t="str">
        <v>Customer specified baseline component</v>
      </c>
      <c r="J6" s="16" t="str">
        <v>CANDIDATE DOCUMENT REVIEW: UNVERIFIED</v>
      </c>
      <c r="K6" s="16" t="str">
        <v>Populates full secondary PCIe riser slots and high-performance fan kits to support future GPU accelerator and 2nd CPU socket expansions.</v>
      </c>
      <c r="L6" s="16" t="str">
        <v>LOCAL_RULE_CHECKED; PORTAL VALIDATION PENDING</v>
      </c>
    </row>
    <row r="7">
      <c r="A7" s="13" t="str">
        <v>P74710-B21</v>
      </c>
      <c r="B7" s="21">
        <v>1</v>
      </c>
      <c r="C7" s="21">
        <v>20</v>
      </c>
      <c r="D7" s="21">
        <f>B7*C7</f>
        <v>20</v>
      </c>
      <c r="E7" s="14" t="str">
        <v>HPE ProLiant Compute DL380a Gen12 4SFF FIO Drive Cage Kit</v>
      </c>
      <c r="F7" s="14" t="str">
        <v>Drive Cage / Drive</v>
      </c>
      <c r="G7" s="22">
        <v>372</v>
      </c>
      <c r="H7" s="22">
        <f>D7*G7</f>
        <v>7440</v>
      </c>
      <c r="I7" s="14" t="str">
        <v>Customer specified baseline component</v>
      </c>
      <c r="J7" s="14" t="str">
        <v>CANDIDATE DOCUMENT REVIEW: UNVERIFIED</v>
      </c>
      <c r="K7" s="14" t="str">
        <v>Populates full secondary PCIe riser slots and high-performance fan kits to support future GPU accelerator and 2nd CPU socket expansions.</v>
      </c>
      <c r="L7" s="14" t="str">
        <v>LOCAL_RULE_CHECKED; PORTAL VALIDATION PENDING</v>
      </c>
    </row>
    <row r="8">
      <c r="A8" s="15" t="str">
        <v>P70436-B21</v>
      </c>
      <c r="B8" s="19">
        <v>2</v>
      </c>
      <c r="C8" s="19">
        <v>20</v>
      </c>
      <c r="D8" s="19">
        <f>B8*C8</f>
        <v>40</v>
      </c>
      <c r="E8" s="16" t="str">
        <v>HPE 15.36TB NVMe Gen4 High Performance Read Intensive SFF BC U.3 PS1010 SSD</v>
      </c>
      <c r="F8" s="16" t="str">
        <v>Drive Cage / Drive</v>
      </c>
      <c r="G8" s="20">
        <v>131585</v>
      </c>
      <c r="H8" s="20">
        <f>D8*G8</f>
        <v>5263400</v>
      </c>
      <c r="I8" s="16" t="str">
        <v>Customer specified baseline component</v>
      </c>
      <c r="J8" s="16" t="str">
        <v>CANDIDATE DOCUMENT REVIEW: UNVERIFIED</v>
      </c>
      <c r="K8" s="16" t="str">
        <v>Populates full secondary PCIe riser slots and high-performance fan kits to support future GPU accelerator and 2nd CPU socket expansions.</v>
      </c>
      <c r="L8" s="16" t="str">
        <v>LOCAL_RULE_CHECKED; PORTAL VALIDATION PENDING</v>
      </c>
    </row>
    <row r="9">
      <c r="A9" s="13" t="str">
        <v>P74690-B21</v>
      </c>
      <c r="B9" s="21">
        <v>1</v>
      </c>
      <c r="C9" s="21">
        <v>20</v>
      </c>
      <c r="D9" s="21">
        <f>B9*C9</f>
        <v>20</v>
      </c>
      <c r="E9" s="14" t="str">
        <v>HPE ProLiant Compute DL380a Gen12 PCIe Rear FIO Kit</v>
      </c>
      <c r="F9" s="14" t="str">
        <v>PCIe Riser</v>
      </c>
      <c r="G9" s="22">
        <v>988</v>
      </c>
      <c r="H9" s="22">
        <f>D9*G9</f>
        <v>19760</v>
      </c>
      <c r="I9" s="14" t="str">
        <v>Customer specified baseline component</v>
      </c>
      <c r="J9" s="14" t="str">
        <v>CANDIDATE DOCUMENT REVIEW: UNVERIFIED</v>
      </c>
      <c r="K9" s="14" t="str">
        <v>Populates full secondary PCIe riser slots and high-performance fan kits to support future GPU accelerator and 2nd CPU socket expansions.</v>
      </c>
      <c r="L9" s="14" t="str">
        <v>LOCAL_RULE_CHECKED; PORTAL VALIDATION PENDING</v>
      </c>
    </row>
    <row r="10">
      <c r="A10" s="15" t="str">
        <v>P47777-B21</v>
      </c>
      <c r="B10" s="19">
        <v>1</v>
      </c>
      <c r="C10" s="19">
        <v>20</v>
      </c>
      <c r="D10" s="19">
        <f>B10*C10</f>
        <v>20</v>
      </c>
      <c r="E10" s="16" t="str">
        <v>HPE MR416i-p Gen11 x16 Lanes 8GB Cache PCI SPDM Plug-in Storage Controller</v>
      </c>
      <c r="F10" s="16" t="str">
        <v>Storage Controller</v>
      </c>
      <c r="G10" s="20">
        <v>5999</v>
      </c>
      <c r="H10" s="20">
        <f>D10*G10</f>
        <v>119980</v>
      </c>
      <c r="I10" s="16" t="str">
        <v>Customer specified baseline component</v>
      </c>
      <c r="J10" s="16" t="str">
        <v>CANDIDATE DOCUMENT REVIEW: UNVERIFIED</v>
      </c>
      <c r="K10" s="16" t="str">
        <v>Populates full secondary PCIe riser slots and high-performance fan kits to support future GPU accelerator and 2nd CPU socket expansions.</v>
      </c>
      <c r="L10" s="16" t="str">
        <v>LOCAL_RULE_CHECKED; PORTAL VALIDATION PENDING</v>
      </c>
    </row>
    <row r="11">
      <c r="A11" s="13" t="str">
        <v>R2E09A</v>
      </c>
      <c r="B11" s="21">
        <v>1</v>
      </c>
      <c r="C11" s="21">
        <v>20</v>
      </c>
      <c r="D11" s="21">
        <f>B11*C11</f>
        <v>20</v>
      </c>
      <c r="E11" s="14" t="str">
        <v>HPE SN1610Q 32Gb 2-port Fibre Channel Host Bus Adapter</v>
      </c>
      <c r="F11" s="14" t="str">
        <v>Fibre Channel HBA</v>
      </c>
      <c r="G11" s="22">
        <v>0</v>
      </c>
      <c r="H11" s="22">
        <f>D11*G11</f>
        <v>0</v>
      </c>
      <c r="I11" s="14" t="str">
        <v>Customer specified baseline component</v>
      </c>
      <c r="J11" s="14" t="str">
        <v>CANDIDATE DOCUMENT REVIEW: UNVERIFIED</v>
      </c>
      <c r="K11" s="14" t="str">
        <v>Populates full secondary PCIe riser slots and high-performance fan kits to support future GPU accelerator and 2nd CPU socket expansions.</v>
      </c>
      <c r="L11" s="14" t="str">
        <v>LOCAL_RULE_CHECKED; PORTAL VALIDATION PENDING</v>
      </c>
    </row>
    <row r="12">
      <c r="A12" s="15" t="str">
        <v>P26262-B21</v>
      </c>
      <c r="B12" s="19">
        <v>1</v>
      </c>
      <c r="C12" s="19">
        <v>20</v>
      </c>
      <c r="D12" s="19">
        <f>B12*C12</f>
        <v>20</v>
      </c>
      <c r="E12" s="16" t="str">
        <v>Broadcom BCM57414 Ethernet 10/25Gb 2-port SFP28 Adapter for HPE</v>
      </c>
      <c r="F12" s="16" t="str">
        <v>Network Adapter</v>
      </c>
      <c r="G12" s="20">
        <v>0</v>
      </c>
      <c r="H12" s="20">
        <f>D12*G12</f>
        <v>0</v>
      </c>
      <c r="I12" s="16" t="str">
        <v>Customer specified baseline component</v>
      </c>
      <c r="J12" s="16" t="str">
        <v>CANDIDATE DOCUMENT REVIEW: UNVERIFIED</v>
      </c>
      <c r="K12" s="16" t="str">
        <v>Populates full secondary PCIe riser slots and high-performance fan kits to support future GPU accelerator and 2nd CPU socket expansions.</v>
      </c>
      <c r="L12" s="16" t="str">
        <v>LOCAL_RULE_CHECKED; PORTAL VALIDATION PENDING</v>
      </c>
    </row>
    <row r="13">
      <c r="A13" s="13" t="str">
        <v>P74714-B21</v>
      </c>
      <c r="B13" s="21">
        <v>2</v>
      </c>
      <c r="C13" s="21">
        <v>20</v>
      </c>
      <c r="D13" s="21">
        <f>B13*C13</f>
        <v>40</v>
      </c>
      <c r="E13" s="14" t="str">
        <v>HPE ProLiant Compute DL380a Gen12 Switchboard FIO Enablement Kit</v>
      </c>
      <c r="F13" s="14" t="str">
        <v>Cable Kit</v>
      </c>
      <c r="G13" s="22">
        <v>8890</v>
      </c>
      <c r="H13" s="22">
        <f>D13*G13</f>
        <v>355600</v>
      </c>
      <c r="I13" s="14" t="str">
        <v>Customer specified baseline component</v>
      </c>
      <c r="J13" s="14" t="str">
        <v>CANDIDATE DOCUMENT REVIEW: UNVERIFIED</v>
      </c>
      <c r="K13" s="14" t="str">
        <v>Populates full secondary PCIe riser slots and high-performance fan kits to support future GPU accelerator and 2nd CPU socket expansions.</v>
      </c>
      <c r="L13" s="14" t="str">
        <v>LOCAL_RULE_CHECKED; PORTAL VALIDATION PENDING</v>
      </c>
    </row>
    <row r="14">
      <c r="A14" s="15" t="str">
        <v>S3U30C</v>
      </c>
      <c r="B14" s="19">
        <v>8</v>
      </c>
      <c r="C14" s="19">
        <v>20</v>
      </c>
      <c r="D14" s="19">
        <f>B14*C14</f>
        <v>160</v>
      </c>
      <c r="E14" s="16" t="str">
        <v>NVIDIA H200 NVL 141GB PCIe Accelerator for HPE</v>
      </c>
      <c r="F14" s="16" t="str">
        <v>GPU / Accelerator</v>
      </c>
      <c r="G14" s="20">
        <v>112579</v>
      </c>
      <c r="H14" s="20">
        <f>D14*G14</f>
        <v>18012640</v>
      </c>
      <c r="I14" s="16" t="str">
        <v>Customer specified baseline component</v>
      </c>
      <c r="J14" s="16" t="str">
        <v>CANDIDATE DOCUMENT REVIEW: UNVERIFIED</v>
      </c>
      <c r="K14" s="16" t="str">
        <v>Populates full secondary PCIe riser slots and high-performance fan kits to support future GPU accelerator and 2nd CPU socket expansions.</v>
      </c>
      <c r="L14" s="16" t="str">
        <v>LOCAL_RULE_CHECKED; PORTAL VALIDATION PENDING</v>
      </c>
    </row>
    <row r="15">
      <c r="A15" s="13" t="str">
        <v>P01367-B21</v>
      </c>
      <c r="B15" s="21">
        <v>1</v>
      </c>
      <c r="C15" s="21">
        <v>20</v>
      </c>
      <c r="D15" s="21">
        <f>B15*C15</f>
        <v>20</v>
      </c>
      <c r="E15" s="14" t="str">
        <v>HPE 96W Smart Storage Lithium-ion Battery with 260mm Cable Kit</v>
      </c>
      <c r="F15" s="14" t="str">
        <v>Cable Kit</v>
      </c>
      <c r="G15" s="22">
        <v>140</v>
      </c>
      <c r="H15" s="22">
        <f>D15*G15</f>
        <v>2800</v>
      </c>
      <c r="I15" s="14" t="str">
        <v>Customer specified baseline component</v>
      </c>
      <c r="J15" s="14" t="str">
        <v>CANDIDATE DOCUMENT REVIEW: UNVERIFIED</v>
      </c>
      <c r="K15" s="14" t="str">
        <v>Populates full secondary PCIe riser slots and high-performance fan kits to support future GPU accelerator and 2nd CPU socket expansions.</v>
      </c>
      <c r="L15" s="14" t="str">
        <v>LOCAL_RULE_CHECKED; PORTAL VALIDATION PENDING</v>
      </c>
    </row>
    <row r="16">
      <c r="A16" s="15" t="str">
        <v>845398-B21</v>
      </c>
      <c r="B16" s="19">
        <v>2</v>
      </c>
      <c r="C16" s="19">
        <v>20</v>
      </c>
      <c r="D16" s="19">
        <f>B16*C16</f>
        <v>40</v>
      </c>
      <c r="E16" s="16" t="str">
        <v>HPE 25Gb SFP28 SR 100m Transceiver</v>
      </c>
      <c r="F16" s="16" t="str">
        <v>Transceiver</v>
      </c>
      <c r="G16" s="20">
        <v>2110</v>
      </c>
      <c r="H16" s="20">
        <f>D16*G16</f>
        <v>84400</v>
      </c>
      <c r="I16" s="16" t="str">
        <v>Customer specified baseline component</v>
      </c>
      <c r="J16" s="16" t="str">
        <v>CANDIDATE DOCUMENT REVIEW: UNVERIFIED</v>
      </c>
      <c r="K16" s="16" t="str">
        <v>Populates full secondary PCIe riser slots and high-performance fan kits to support future GPU accelerator and 2nd CPU socket expansions.</v>
      </c>
      <c r="L16" s="16" t="str">
        <v>LOCAL_RULE_CHECKED; PORTAL VALIDATION PENDING</v>
      </c>
    </row>
    <row r="17">
      <c r="A17" s="13" t="str">
        <v>P67252-B21</v>
      </c>
      <c r="B17" s="21">
        <v>8</v>
      </c>
      <c r="C17" s="21">
        <v>20</v>
      </c>
      <c r="D17" s="21">
        <f>B17*C17</f>
        <v>160</v>
      </c>
      <c r="E17" s="14" t="str">
        <v>HPE 2400W M-CRPS Titanium Hot Plug Power Supply Kit</v>
      </c>
      <c r="F17" s="14" t="str">
        <v>Power Supply</v>
      </c>
      <c r="G17" s="22">
        <v>2509</v>
      </c>
      <c r="H17" s="22">
        <f>D17*G17</f>
        <v>401440</v>
      </c>
      <c r="I17" s="14" t="str">
        <v>Customer specified baseline component</v>
      </c>
      <c r="J17" s="14" t="str">
        <v>CANDIDATE DOCUMENT REVIEW: UNVERIFIED</v>
      </c>
      <c r="K17" s="14" t="str">
        <v>Populates full secondary PCIe riser slots and high-performance fan kits to support future GPU accelerator and 2nd CPU socket expansions.</v>
      </c>
      <c r="L17" s="14" t="str">
        <v>LOCAL_RULE_CHECKED; PORTAL VALIDATION PENDING</v>
      </c>
    </row>
    <row r="18">
      <c r="A18" s="15" t="str">
        <v>295633-B22</v>
      </c>
      <c r="B18" s="19">
        <v>5</v>
      </c>
      <c r="C18" s="19">
        <v>20</v>
      </c>
      <c r="D18" s="19">
        <f>B18*C18</f>
        <v>100</v>
      </c>
      <c r="E18" s="16" t="str">
        <v>HPE C19 - C20 WW 250V 16Amp 2.5m Jumper Cord</v>
      </c>
      <c r="F18" s="16" t="str">
        <v>Cable Kit</v>
      </c>
      <c r="G18" s="20">
        <v>0</v>
      </c>
      <c r="H18" s="20">
        <f>D18*G18</f>
        <v>0</v>
      </c>
      <c r="I18" s="16" t="str">
        <v>Customer specified baseline component</v>
      </c>
      <c r="J18" s="16" t="str">
        <v>CANDIDATE DOCUMENT REVIEW: UNVERIFIED</v>
      </c>
      <c r="K18" s="16" t="str">
        <v>Populates full secondary PCIe riser slots and high-performance fan kits to support future GPU accelerator and 2nd CPU socket expansions.</v>
      </c>
      <c r="L18" s="16" t="str">
        <v>LOCAL_RULE_CHECKED; PORTAL VALIDATION PENDING</v>
      </c>
    </row>
    <row r="19">
      <c r="A19" s="13" t="str">
        <v>P78384-B21</v>
      </c>
      <c r="B19" s="21">
        <v>3</v>
      </c>
      <c r="C19" s="21">
        <v>20</v>
      </c>
      <c r="D19" s="21">
        <f>B19*C19</f>
        <v>60</v>
      </c>
      <c r="E19" s="14" t="str">
        <v>HPE C19 - C20 250V 16Amp 2.5m FIO Power Cord</v>
      </c>
      <c r="F19" s="14" t="str">
        <v>Cable Kit</v>
      </c>
      <c r="G19" s="22">
        <v>0</v>
      </c>
      <c r="H19" s="22">
        <f>D19*G19</f>
        <v>0</v>
      </c>
      <c r="I19" s="14" t="str">
        <v>Customer specified baseline component</v>
      </c>
      <c r="J19" s="14" t="str">
        <v>CANDIDATE DOCUMENT REVIEW: UNVERIFIED</v>
      </c>
      <c r="K19" s="14" t="str">
        <v>Populates full secondary PCIe riser slots and high-performance fan kits to support future GPU accelerator and 2nd CPU socket expansions.</v>
      </c>
      <c r="L19" s="14" t="str">
        <v>LOCAL_RULE_CHECKED; PORTAL VALIDATION PENDING</v>
      </c>
    </row>
    <row r="20">
      <c r="A20" s="15" t="str">
        <v>BD505A</v>
      </c>
      <c r="B20" s="19">
        <v>1</v>
      </c>
      <c r="C20" s="19">
        <v>20</v>
      </c>
      <c r="D20" s="19">
        <f>B20*C20</f>
        <v>20</v>
      </c>
      <c r="E20" s="16" t="str">
        <v>HPE iLO Advanced 1-server License with 3yr Support on iLO Licensed Features</v>
      </c>
      <c r="F20" s="16" t="str">
        <v>Service &amp; Support</v>
      </c>
      <c r="G20" s="20">
        <v>469</v>
      </c>
      <c r="H20" s="20">
        <f>D20*G20</f>
        <v>9380</v>
      </c>
      <c r="I20" s="16" t="str">
        <v>Customer specified baseline component</v>
      </c>
      <c r="J20" s="16" t="str">
        <v>CANDIDATE DOCUMENT REVIEW: UNVERIFIED</v>
      </c>
      <c r="K20" s="16" t="str">
        <v>Populates full secondary PCIe riser slots and high-performance fan kits to support future GPU accelerator and 2nd CPU socket expansions.</v>
      </c>
      <c r="L20" s="16" t="str">
        <v>LOCAL_RULE_CHECKED; PORTAL VALIDATION PENDING</v>
      </c>
    </row>
    <row r="21">
      <c r="A21" s="13" t="str">
        <v>S1A05A</v>
      </c>
      <c r="B21" s="21">
        <v>1</v>
      </c>
      <c r="C21" s="21">
        <v>20</v>
      </c>
      <c r="D21" s="21">
        <f>B21*C21</f>
        <v>20</v>
      </c>
      <c r="E21" s="14" t="str">
        <v>HPE Compute Cloud Management Server FIO Enablement</v>
      </c>
      <c r="F21" s="14" t="str">
        <v>Base Hardware</v>
      </c>
      <c r="G21" s="22">
        <v>0</v>
      </c>
      <c r="H21" s="22">
        <f>D21*G21</f>
        <v>0</v>
      </c>
      <c r="I21" s="14" t="str">
        <v>Customer specified baseline component</v>
      </c>
      <c r="J21" s="14" t="str">
        <v>CANDIDATE DOCUMENT REVIEW: UNVERIFIED</v>
      </c>
      <c r="K21" s="14" t="str">
        <v>Populates full secondary PCIe riser slots and high-performance fan kits to support future GPU accelerator and 2nd CPU socket expansions.</v>
      </c>
      <c r="L21" s="14" t="str">
        <v>LOCAL_RULE_CHECKED; PORTAL VALIDATION PENDING</v>
      </c>
    </row>
    <row r="22">
      <c r="A22" s="15" t="str">
        <v>P74694-B21</v>
      </c>
      <c r="B22" s="19">
        <v>1</v>
      </c>
      <c r="C22" s="19">
        <v>20</v>
      </c>
      <c r="D22" s="19">
        <f>B22*C22</f>
        <v>20</v>
      </c>
      <c r="E22" s="16" t="str">
        <v>HPE ProLiant Compute DL380a Gen12 OCPA Cable Kit</v>
      </c>
      <c r="F22" s="16" t="str">
        <v>Cable Kit</v>
      </c>
      <c r="G22" s="20">
        <v>75</v>
      </c>
      <c r="H22" s="20">
        <f>D22*G22</f>
        <v>1500</v>
      </c>
      <c r="I22" s="16" t="str">
        <v>Customer specified baseline component</v>
      </c>
      <c r="J22" s="16" t="str">
        <v>CANDIDATE DOCUMENT REVIEW: UNVERIFIED</v>
      </c>
      <c r="K22" s="16" t="str">
        <v>Populates full secondary PCIe riser slots and high-performance fan kits to support future GPU accelerator and 2nd CPU socket expansions.</v>
      </c>
      <c r="L22" s="16" t="str">
        <v>LOCAL_RULE_CHECKED; PORTAL VALIDATION PENDING</v>
      </c>
    </row>
    <row r="23">
      <c r="A23" s="13" t="str">
        <v>P74700-B21</v>
      </c>
      <c r="B23" s="21">
        <v>4</v>
      </c>
      <c r="C23" s="21">
        <v>20</v>
      </c>
      <c r="D23" s="21">
        <f>B23*C23</f>
        <v>80</v>
      </c>
      <c r="E23" s="14" t="str">
        <v>HPE ProLiant Compute DL380a Gen12 GPU 16-pin FIO Cable Kit</v>
      </c>
      <c r="F23" s="14" t="str">
        <v>Cable Kit</v>
      </c>
      <c r="G23" s="22">
        <v>0</v>
      </c>
      <c r="H23" s="22">
        <f>D23*G23</f>
        <v>0</v>
      </c>
      <c r="I23" s="14" t="str">
        <v>Customer specified baseline component</v>
      </c>
      <c r="J23" s="14" t="str">
        <v>CANDIDATE DOCUMENT REVIEW: UNVERIFIED</v>
      </c>
      <c r="K23" s="14" t="str">
        <v>Populates full secondary PCIe riser slots and high-performance fan kits to support future GPU accelerator and 2nd CPU socket expansions.</v>
      </c>
      <c r="L23" s="14" t="str">
        <v>LOCAL_RULE_CHECKED; PORTAL VALIDATION PENDING</v>
      </c>
    </row>
    <row r="24">
      <c r="A24" s="15" t="str">
        <v>P76700-B21</v>
      </c>
      <c r="B24" s="19">
        <v>1</v>
      </c>
      <c r="C24" s="19">
        <v>20</v>
      </c>
      <c r="D24" s="19">
        <f>B24*C24</f>
        <v>20</v>
      </c>
      <c r="E24" s="16" t="str">
        <v>HPE ProLiant Compute DL380a Gen12 NVMe to Tri-Mode PCIe FIO Cable Kit</v>
      </c>
      <c r="F24" s="16" t="str">
        <v>Cable Kit</v>
      </c>
      <c r="G24" s="20">
        <v>518</v>
      </c>
      <c r="H24" s="20">
        <f>D24*G24</f>
        <v>10360</v>
      </c>
      <c r="I24" s="16" t="str">
        <v>Customer specified baseline component</v>
      </c>
      <c r="J24" s="16" t="str">
        <v>CANDIDATE DOCUMENT REVIEW: UNVERIFIED</v>
      </c>
      <c r="K24" s="16" t="str">
        <v>Populates full secondary PCIe riser slots and high-performance fan kits to support future GPU accelerator and 2nd CPU socket expansions.</v>
      </c>
      <c r="L24" s="16" t="str">
        <v>LOCAL_RULE_CHECKED; PORTAL VALIDATION PENDING</v>
      </c>
    </row>
    <row r="25">
      <c r="A25" s="13" t="str">
        <v>P79656-B21</v>
      </c>
      <c r="B25" s="21">
        <v>1</v>
      </c>
      <c r="C25" s="21">
        <v>20</v>
      </c>
      <c r="D25" s="21">
        <f>B25*C25</f>
        <v>20</v>
      </c>
      <c r="E25" s="14" t="str">
        <v>HPE ProLiant Compute DL380a Gen12 Front Chassis Fan Module Kit</v>
      </c>
      <c r="F25" s="14" t="str">
        <v>Cooling / Thermal</v>
      </c>
      <c r="G25" s="22">
        <v>712</v>
      </c>
      <c r="H25" s="22">
        <f>D25*G25</f>
        <v>14240</v>
      </c>
      <c r="I25" s="14" t="str">
        <v>Customer specified baseline component</v>
      </c>
      <c r="J25" s="14" t="str">
        <v>CANDIDATE DOCUMENT REVIEW: UNVERIFIED</v>
      </c>
      <c r="K25" s="14" t="str">
        <v>Populates full secondary PCIe riser slots and high-performance fan kits to support future GPU accelerator and 2nd CPU socket expansions.</v>
      </c>
      <c r="L25" s="14" t="str">
        <v>LOCAL_RULE_CHECKED; PORTAL VALIDATION PENDING</v>
      </c>
    </row>
    <row r="26">
      <c r="A26" s="15" t="str">
        <v>P74911-B21</v>
      </c>
      <c r="B26" s="19">
        <v>1</v>
      </c>
      <c r="C26" s="19">
        <v>20</v>
      </c>
      <c r="D26" s="19">
        <f>B26*C26</f>
        <v>20</v>
      </c>
      <c r="E26" s="16" t="str">
        <v>HPE ProLiant Compute DL380a Gen12 4U Bezel Kit</v>
      </c>
      <c r="F26" s="16" t="str">
        <v>Chassis Infrastructure</v>
      </c>
      <c r="G26" s="20">
        <v>146</v>
      </c>
      <c r="H26" s="20">
        <f>D26*G26</f>
        <v>2920</v>
      </c>
      <c r="I26" s="16" t="str">
        <v>Customer specified baseline component</v>
      </c>
      <c r="J26" s="16" t="str">
        <v>CANDIDATE DOCUMENT REVIEW: UNVERIFIED</v>
      </c>
      <c r="K26" s="16" t="str">
        <v>Populates full secondary PCIe riser slots and high-performance fan kits to support future GPU accelerator and 2nd CPU socket expansions.</v>
      </c>
      <c r="L26" s="16" t="str">
        <v>LOCAL_RULE_CHECKED; PORTAL VALIDATION PENDING</v>
      </c>
    </row>
    <row r="27">
      <c r="A27" s="13" t="str">
        <v>P69770-B21</v>
      </c>
      <c r="B27" s="21">
        <v>1</v>
      </c>
      <c r="C27" s="21">
        <v>20</v>
      </c>
      <c r="D27" s="21">
        <f>B27*C27</f>
        <v>20</v>
      </c>
      <c r="E27" s="14" t="str">
        <v>HPE ProLiant Compute DL380a Gen12 Ball Bearing Rail Kit</v>
      </c>
      <c r="F27" s="14" t="str">
        <v>Chassis Infrastructure</v>
      </c>
      <c r="G27" s="22">
        <v>950</v>
      </c>
      <c r="H27" s="22">
        <f>D27*G27</f>
        <v>19000</v>
      </c>
      <c r="I27" s="14" t="str">
        <v>Customer specified baseline component</v>
      </c>
      <c r="J27" s="14" t="str">
        <v>CANDIDATE DOCUMENT REVIEW: UNVERIFIED</v>
      </c>
      <c r="K27" s="14" t="str">
        <v>Populates full secondary PCIe riser slots and high-performance fan kits to support future GPU accelerator and 2nd CPU socket expansions.</v>
      </c>
      <c r="L27" s="14" t="str">
        <v>LOCAL_RULE_CHECKED; PORTAL VALIDATION PENDING</v>
      </c>
    </row>
    <row r="28">
      <c r="A28" s="15" t="str">
        <v>P73325-B21</v>
      </c>
      <c r="B28" s="19">
        <v>1</v>
      </c>
      <c r="C28" s="19">
        <v>20</v>
      </c>
      <c r="D28" s="19">
        <f>B28*C28</f>
        <v>20</v>
      </c>
      <c r="E28" s="16" t="str">
        <v>HPE ProLiant Compute Localization FIO Kit</v>
      </c>
      <c r="F28" s="16" t="str">
        <v>Chassis Infrastructure</v>
      </c>
      <c r="G28" s="20">
        <v>4</v>
      </c>
      <c r="H28" s="20">
        <f>D28*G28</f>
        <v>80</v>
      </c>
      <c r="I28" s="16" t="str">
        <v>Customer specified baseline component</v>
      </c>
      <c r="J28" s="16" t="str">
        <v>CANDIDATE DOCUMENT REVIEW: UNVERIFIED</v>
      </c>
      <c r="K28" s="16" t="str">
        <v>Populates full secondary PCIe riser slots and high-performance fan kits to support future GPU accelerator and 2nd CPU socket expansions.</v>
      </c>
      <c r="L28" s="16" t="str">
        <v>LOCAL_RULE_CHECKED; PORTAL VALIDATION PENDING</v>
      </c>
    </row>
    <row r="29">
      <c r="A29" s="13" t="str">
        <v>P75008-B21</v>
      </c>
      <c r="B29" s="21">
        <v>1</v>
      </c>
      <c r="C29" s="21">
        <v>20</v>
      </c>
      <c r="D29" s="21">
        <f>B29*C29</f>
        <v>20</v>
      </c>
      <c r="E29" s="14" t="str">
        <v>HPE ProLiant Compute DL380a Gen12 8 Double Wide/16 Single Wide FIO Configuration</v>
      </c>
      <c r="F29" s="14" t="str">
        <v>Base Hardware</v>
      </c>
      <c r="G29" s="22">
        <v>1</v>
      </c>
      <c r="H29" s="22">
        <f>D29*G29</f>
        <v>20</v>
      </c>
      <c r="I29" s="14" t="str">
        <v>Customer specified baseline component</v>
      </c>
      <c r="J29" s="14" t="str">
        <v>CANDIDATE DOCUMENT REVIEW: UNVERIFIED</v>
      </c>
      <c r="K29" s="14" t="str">
        <v>Populates full secondary PCIe riser slots and high-performance fan kits to support future GPU accelerator and 2nd CPU socket expansions.</v>
      </c>
      <c r="L29" s="14" t="str">
        <v>LOCAL_RULE_CHECKED; PORTAL VALIDATION PENDING</v>
      </c>
    </row>
    <row r="30">
      <c r="A30" s="15" t="str">
        <v>P75284-B21</v>
      </c>
      <c r="B30" s="19">
        <v>1</v>
      </c>
      <c r="C30" s="19">
        <v>20</v>
      </c>
      <c r="D30" s="19">
        <f>B30*C30</f>
        <v>20</v>
      </c>
      <c r="E30" s="16" t="str">
        <v>HPE DL380a Gen12 NS204i-u Front Cage Kit</v>
      </c>
      <c r="F30" s="16" t="str">
        <v>Boot Device</v>
      </c>
      <c r="G30" s="20">
        <v>158</v>
      </c>
      <c r="H30" s="20">
        <f>D30*G30</f>
        <v>3160</v>
      </c>
      <c r="I30" s="16" t="str">
        <v>Customer specified baseline component</v>
      </c>
      <c r="J30" s="16" t="str">
        <v>CANDIDATE DOCUMENT REVIEW: UNVERIFIED</v>
      </c>
      <c r="K30" s="16" t="str">
        <v>Populates full secondary PCIe riser slots and high-performance fan kits to support future GPU accelerator and 2nd CPU socket expansions.</v>
      </c>
      <c r="L30" s="16" t="str">
        <v>LOCAL_RULE_CHECKED; PORTAL VALIDATION PENDING</v>
      </c>
    </row>
    <row r="31">
      <c r="A31" s="13" t="str">
        <v>P79660-B21</v>
      </c>
      <c r="B31" s="21">
        <v>1</v>
      </c>
      <c r="C31" s="21">
        <v>20</v>
      </c>
      <c r="D31" s="21">
        <f>B31*C31</f>
        <v>20</v>
      </c>
      <c r="E31" s="14" t="str">
        <v>HPE ProLiant Compute DL380a Gen12 Front Panel Kit</v>
      </c>
      <c r="F31" s="14" t="str">
        <v>Base Hardware</v>
      </c>
      <c r="G31" s="22">
        <v>65</v>
      </c>
      <c r="H31" s="22">
        <f>D31*G31</f>
        <v>1300</v>
      </c>
      <c r="I31" s="14" t="str">
        <v>Customer specified baseline component</v>
      </c>
      <c r="J31" s="14" t="str">
        <v>CANDIDATE DOCUMENT REVIEW: UNVERIFIED</v>
      </c>
      <c r="K31" s="14" t="str">
        <v>Populates full secondary PCIe riser slots and high-performance fan kits to support future GPU accelerator and 2nd CPU socket expansions.</v>
      </c>
      <c r="L31" s="14" t="str">
        <v>LOCAL_RULE_CHECKED; PORTAL VALIDATION PENDING</v>
      </c>
    </row>
    <row r="32">
      <c r="A32" s="15" t="str">
        <v>P81160-B21</v>
      </c>
      <c r="B32" s="19">
        <v>1</v>
      </c>
      <c r="C32" s="19">
        <v>20</v>
      </c>
      <c r="D32" s="19">
        <f>B32*C32</f>
        <v>20</v>
      </c>
      <c r="E32" s="16" t="str">
        <v>HPE NS204i-u v2 960GB NVMe Hot Plug Boot Optimized Storage Device</v>
      </c>
      <c r="F32" s="16" t="str">
        <v>Boot Device</v>
      </c>
      <c r="G32" s="20">
        <v>14299</v>
      </c>
      <c r="H32" s="20">
        <f>D32*G32</f>
        <v>285980</v>
      </c>
      <c r="I32" s="16" t="str">
        <v>Customer specified baseline component</v>
      </c>
      <c r="J32" s="16" t="str">
        <v>CANDIDATE DOCUMENT REVIEW: UNVERIFIED</v>
      </c>
      <c r="K32" s="16" t="str">
        <v>Populates full secondary PCIe riser slots and high-performance fan kits to support future GPU accelerator and 2nd CPU socket expansions.</v>
      </c>
      <c r="L32" s="16" t="str">
        <v>LOCAL_RULE_CHECKED; PORTAL VALIDATION PENDING</v>
      </c>
    </row>
    <row r="33">
      <c r="A33" s="13" t="str">
        <v>S4A91C</v>
      </c>
      <c r="B33" s="21">
        <v>2</v>
      </c>
      <c r="C33" s="21">
        <v>20</v>
      </c>
      <c r="D33" s="21">
        <f>B33*C33</f>
        <v>40</v>
      </c>
      <c r="E33" s="14" t="str">
        <v>NVIDIA 4-way NVLink Bridge for H200 NVL</v>
      </c>
      <c r="F33" s="14" t="str">
        <v>Cable Kit</v>
      </c>
      <c r="G33" s="22">
        <v>0</v>
      </c>
      <c r="H33" s="22">
        <f>D33*G33</f>
        <v>0</v>
      </c>
      <c r="I33" s="14" t="str">
        <v>Customer specified baseline component</v>
      </c>
      <c r="J33" s="14" t="str">
        <v>CANDIDATE DOCUMENT REVIEW: UNVERIFIED</v>
      </c>
      <c r="K33" s="14" t="str">
        <v>Populates full secondary PCIe riser slots and high-performance fan kits to support future GPU accelerator and 2nd CPU socket expansions.</v>
      </c>
      <c r="L33" s="14" t="str">
        <v>LOCAL_RULE_CHECKED; PORTAL VALIDATION PENDING</v>
      </c>
    </row>
    <row r="34">
      <c r="A34" s="15" t="str">
        <v>R7A11AAE</v>
      </c>
      <c r="B34" s="19">
        <v>1</v>
      </c>
      <c r="C34" s="19">
        <v>20</v>
      </c>
      <c r="D34" s="19">
        <f>B34*C34</f>
        <v>20</v>
      </c>
      <c r="E34" s="16" t="str">
        <v>HPE Compute Ops Management Standard 3-year Upfront ProLiant SaaS</v>
      </c>
      <c r="F34" s="16" t="str">
        <v>Base Hardware</v>
      </c>
      <c r="G34" s="20">
        <v>0</v>
      </c>
      <c r="H34" s="20">
        <f>D34*G34</f>
        <v>0</v>
      </c>
      <c r="I34" s="16" t="str">
        <v>Customer specified baseline component</v>
      </c>
      <c r="J34" s="16" t="str">
        <v>CANDIDATE DOCUMENT REVIEW: UNVERIFIED</v>
      </c>
      <c r="K34" s="16" t="str">
        <v>Populates full secondary PCIe riser slots and high-performance fan kits to support future GPU accelerator and 2nd CPU socket expansions.</v>
      </c>
      <c r="L34" s="16" t="str">
        <v>LOCAL_RULE_CHECKED; PORTAL VALIDATION PENDING</v>
      </c>
    </row>
    <row r="35">
      <c r="A35" s="13" t="str">
        <v>HA113A1</v>
      </c>
      <c r="B35" s="21">
        <v>1</v>
      </c>
      <c r="C35" s="21">
        <v>20</v>
      </c>
      <c r="D35" s="21">
        <f>B35*C35</f>
        <v>21</v>
      </c>
      <c r="E35" s="14" t="str">
        <v>HPE Installation Service</v>
      </c>
      <c r="F35" s="14" t="str">
        <v>Service &amp; Support</v>
      </c>
      <c r="G35" s="22">
        <v>0</v>
      </c>
      <c r="H35" s="22">
        <f>D35*G35</f>
        <v>0</v>
      </c>
      <c r="I35" s="14" t="str">
        <v>Customer specified baseline component</v>
      </c>
      <c r="J35" s="14" t="str">
        <v>CANDIDATE DOCUMENT REVIEW: UNVERIFIED</v>
      </c>
      <c r="K35" s="14" t="str">
        <v>Populates full secondary PCIe riser slots and high-performance fan kits to support future GPU accelerator and 2nd CPU socket expansions.</v>
      </c>
      <c r="L35" s="14" t="str">
        <v>LOCAL_RULE_CHECKED; PORTAL VALIDATION PENDING</v>
      </c>
    </row>
    <row r="36">
      <c r="A36" s="15" t="str">
        <v>HU4B2A3</v>
      </c>
      <c r="B36" s="19">
        <v>1</v>
      </c>
      <c r="C36" s="19">
        <v>1</v>
      </c>
      <c r="D36" s="19">
        <f>B36*C36</f>
        <v>1</v>
      </c>
      <c r="E36" s="16" t="str">
        <v>HPE 3Y Tech Care Basic Service</v>
      </c>
      <c r="F36" s="16" t="str">
        <v>Service &amp; Support</v>
      </c>
      <c r="G36" s="20">
        <v>0</v>
      </c>
      <c r="H36" s="20">
        <f>D36*G36</f>
        <v>0</v>
      </c>
      <c r="I36" s="16" t="str">
        <v>Customer specified baseline component</v>
      </c>
      <c r="J36" s="16" t="str">
        <v>CANDIDATE DOCUMENT REVIEW: UNVERIFIED</v>
      </c>
      <c r="K36" s="16" t="str">
        <v>Populates full secondary PCIe riser slots and high-performance fan kits to support future GPU accelerator and 2nd CPU socket expansions.</v>
      </c>
      <c r="L36" s="16" t="str">
        <v>LOCAL_RULE_CHECKED; PORTAL VALIDATION PENDING</v>
      </c>
    </row>
    <row r="37">
      <c r="A37" s="13" t="str">
        <v>HU4B2A30C4W</v>
      </c>
      <c r="B37" s="21">
        <v>1</v>
      </c>
      <c r="C37" s="21">
        <v>20</v>
      </c>
      <c r="D37" s="21">
        <f>B37*C37</f>
        <v>20</v>
      </c>
      <c r="E37" s="14" t="str">
        <v>HPE HPE DL380a Gen12 Support</v>
      </c>
      <c r="F37" s="14" t="str">
        <v>Service &amp; Support</v>
      </c>
      <c r="G37" s="22">
        <v>0</v>
      </c>
      <c r="H37" s="22">
        <f>D37*G37</f>
        <v>0</v>
      </c>
      <c r="I37" s="14" t="str">
        <v>Customer specified baseline component</v>
      </c>
      <c r="J37" s="14" t="str">
        <v>CANDIDATE DOCUMENT REVIEW: UNVERIFIED</v>
      </c>
      <c r="K37" s="14" t="str">
        <v>Populates full secondary PCIe riser slots and high-performance fan kits to support future GPU accelerator and 2nd CPU socket expansions.</v>
      </c>
      <c r="L37" s="14" t="str">
        <v>LOCAL_RULE_CHECKED; PORTAL VALIDATION PENDING</v>
      </c>
    </row>
    <row r="38">
      <c r="A38" s="15" t="str">
        <v>P76453-B21</v>
      </c>
      <c r="B38" s="19">
        <v>1</v>
      </c>
      <c r="C38" s="19">
        <v>1</v>
      </c>
      <c r="D38" s="19">
        <f>B38*C38</f>
        <v>1</v>
      </c>
      <c r="E38" s="16" t="str">
        <v>HPE DL380 Gen12 Primary/Secondary Full PCIe x16 Riser Kit</v>
      </c>
      <c r="F38" s="16" t="str">
        <v>Scalability Expansion</v>
      </c>
      <c r="G38" s="20">
        <v>0</v>
      </c>
      <c r="H38" s="20">
        <f>D38*G38</f>
        <v>0</v>
      </c>
      <c r="I38" s="16" t="str">
        <v>Customer specified baseline component</v>
      </c>
      <c r="J38" s="16" t="str">
        <v>CANDIDATE DOCUMENT REVIEW: UNVERIFIED</v>
      </c>
      <c r="K38" s="16" t="str">
        <v>Populates full secondary PCIe riser slots and high-performance fan kits to support future GPU accelerator and 2nd CPU socket expansions.</v>
      </c>
      <c r="L38" s="16" t="str">
        <v>LOCAL_RULE_CHECKED; PORTAL VALIDATION PENDING</v>
      </c>
    </row>
    <row r="39">
      <c r="A39" s="13" t="str">
        <v>P48820-B21</v>
      </c>
      <c r="B39" s="21">
        <v>1</v>
      </c>
      <c r="C39" s="21">
        <v>1</v>
      </c>
      <c r="D39" s="21">
        <f>B39*C39</f>
        <v>1</v>
      </c>
      <c r="E39" s="14" t="str">
        <v>HPE High Performance Fan Kit (6 Fans)</v>
      </c>
      <c r="F39" s="14" t="str">
        <v>Scalability Expansion</v>
      </c>
      <c r="G39" s="22">
        <v>0</v>
      </c>
      <c r="H39" s="22">
        <f>D39*G39</f>
        <v>0</v>
      </c>
      <c r="I39" s="14" t="str">
        <v>Customer specified baseline component</v>
      </c>
      <c r="J39" s="14" t="str">
        <v>CANDIDATE DOCUMENT REVIEW: UNVERIFIED</v>
      </c>
      <c r="K39" s="14" t="str">
        <v>Populates full secondary PCIe riser slots and high-performance fan kits to support future GPU accelerator and 2nd CPU socket expansions.</v>
      </c>
      <c r="L39" s="14" t="str">
        <v>LOCAL_RULE_CHECKED; PORTAL VALIDATION PENDING</v>
      </c>
    </row>
    <row r="40">
      <c r="A40" s="23" t="str">
        <v>SUBTOTAL / ESTIMATED CAPEX</v>
      </c>
      <c r="B40" s="24" t="str">
        <v/>
      </c>
      <c r="C40" s="24" t="str">
        <v/>
      </c>
      <c r="D40" s="24" t="str">
        <v/>
      </c>
      <c r="E40" s="24" t="str">
        <v/>
      </c>
      <c r="F40" s="24" t="str">
        <v/>
      </c>
      <c r="G40" s="25" t="str">
        <v/>
      </c>
      <c r="H40" s="25">
        <f>SUM(H4:H39)</f>
        <v>29881860</v>
      </c>
      <c r="I40" s="24" t="str">
        <v>20 Node(s)</v>
      </c>
      <c r="J40" s="24" t="str">
        <v>CANDIDATE DOCUMENT REVIEW: UNVERIFIED</v>
      </c>
      <c r="K40" s="24" t="str">
        <v>LOCAL_RULE_CHECKED</v>
      </c>
      <c r="L40" s="24" t="str">
        <v>PORTAL VALIDATION PENDING</v>
      </c>
    </row>
  </sheetData>
  <ignoredErrors>
    <ignoredError numberStoredAsText="1" sqref="A1:L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cols>
    <col min="1" max="1" width="18.83203125" customWidth="1"/>
    <col min="2" max="2" width="14.83203125" customWidth="1"/>
    <col min="3" max="3" width="15.83203125" customWidth="1"/>
    <col min="4" max="4" width="12.83203125" customWidth="1"/>
    <col min="5" max="5" width="45.83203125" customWidth="1"/>
    <col min="6" max="6" width="22.83203125" customWidth="1"/>
    <col min="7" max="7" width="18.83203125" customWidth="1"/>
    <col min="8" max="8" width="20.83203125" customWidth="1"/>
    <col min="9" max="9" width="45.83203125" customWidth="1"/>
    <col min="10" max="10" width="35.83203125" customWidth="1"/>
    <col min="11" max="11" width="55.83203125" customWidth="1"/>
    <col min="12" max="12" width="25.83203125" customWidth="1"/>
  </cols>
  <sheetData>
    <row r="1">
      <c r="A1" s="17" t="str">
        <v>HPE SOLUTION SPECIFICATION — RANK 5: Rank 5: Budget &amp; CapEx Minimized Buildable Baseline</v>
      </c>
    </row>
    <row r="2">
      <c r="A2" s="18" t="str">
        <v>Estimated CapEx: $2,98,81,860 | Alignment: 80% (Minimal Baseline) | Server Nodes: 20</v>
      </c>
    </row>
    <row r="3">
      <c r="A3" s="6" t="str">
        <v>Part No</v>
      </c>
      <c r="B3" s="6" t="str">
        <v>Per-Node Qty</v>
      </c>
      <c r="C3" s="6" t="str">
        <v>Node Multiplier</v>
      </c>
      <c r="D3" s="6" t="str">
        <v>Total Qty</v>
      </c>
      <c r="E3" s="6" t="str">
        <v>Description</v>
      </c>
      <c r="F3" s="6" t="str">
        <v>Component Role</v>
      </c>
      <c r="G3" s="6" t="str">
        <v>Unit Price (USD)</v>
      </c>
      <c r="H3" s="6" t="str">
        <v>Extended Price (USD)</v>
      </c>
      <c r="I3" s="6" t="str">
        <v>Physical Math &amp; Rule Engine Rationale</v>
      </c>
      <c r="J3" s="6" t="str">
        <v>Gemini NotebookLM Badge</v>
      </c>
      <c r="K3" s="6" t="str">
        <v>Agentic Guardrail &amp; Evals Trace</v>
      </c>
      <c r="L3" s="6" t="str">
        <v>CLIC Status / Rule Trace</v>
      </c>
    </row>
    <row r="4">
      <c r="A4" s="15" t="str">
        <v>P76706-B21</v>
      </c>
      <c r="B4" s="19">
        <v>1</v>
      </c>
      <c r="C4" s="19">
        <v>20</v>
      </c>
      <c r="D4" s="19">
        <f>B4*C4</f>
        <v>20</v>
      </c>
      <c r="E4" s="16" t="str">
        <v>HPE ProLiant Compute DL380a Gen12 8 Double Wide/16 Single Wide Configure-to-order Server</v>
      </c>
      <c r="F4" s="16" t="str">
        <v>Minimal CapEx Baseline</v>
      </c>
      <c r="G4" s="20">
        <v>21407</v>
      </c>
      <c r="H4" s="20">
        <f>D4*G4</f>
        <v>428140</v>
      </c>
      <c r="I4" s="16" t="str">
        <v>Customer specified baseline component</v>
      </c>
      <c r="J4" s="16" t="str">
        <v>CANDIDATE DOCUMENT REVIEW: UNVERIFIED</v>
      </c>
      <c r="K4" s="16" t="str">
        <v>Strict baseline buildable tier eliminating all optional add-ons to minimize total CapEx expenditure while remaining 100% buildable.</v>
      </c>
      <c r="L4" s="16" t="str">
        <v>LOCAL_RULE_CHECKED; PORTAL VALIDATION PENDING</v>
      </c>
    </row>
    <row r="5">
      <c r="A5" s="13" t="str">
        <v>P74571-B21</v>
      </c>
      <c r="B5" s="21">
        <v>2</v>
      </c>
      <c r="C5" s="21">
        <v>20</v>
      </c>
      <c r="D5" s="21">
        <f>B5*C5</f>
        <v>40</v>
      </c>
      <c r="E5" s="14" t="str">
        <v>Intel Xeon 6530P 2.3GHz 32-core 225W Processor for HPE</v>
      </c>
      <c r="F5" s="14" t="str">
        <v>Minimal CapEx Baseline</v>
      </c>
      <c r="G5" s="22">
        <v>6830</v>
      </c>
      <c r="H5" s="22">
        <f>D5*G5</f>
        <v>273200</v>
      </c>
      <c r="I5" s="14" t="str">
        <v>Customer specified baseline component</v>
      </c>
      <c r="J5" s="14" t="str">
        <v>CANDIDATE DOCUMENT REVIEW: UNVERIFIED</v>
      </c>
      <c r="K5" s="14" t="str">
        <v>Strict baseline buildable tier eliminating all optional add-ons to minimize total CapEx expenditure while remaining 100% buildable.</v>
      </c>
      <c r="L5" s="14" t="str">
        <v>LOCAL_RULE_CHECKED; PORTAL VALIDATION PENDING</v>
      </c>
    </row>
    <row r="6">
      <c r="A6" s="15" t="str">
        <v>P69728-F21</v>
      </c>
      <c r="B6" s="19">
        <v>8</v>
      </c>
      <c r="C6" s="19">
        <v>20</v>
      </c>
      <c r="D6" s="19">
        <f>B6*C6</f>
        <v>160</v>
      </c>
      <c r="E6" s="16" t="str">
        <v>HPE 64GB (1x64GB) Dual Rank x4 DDR5-6400 CAS-52-52-52 EC8 Registered Smart FIO Memory Kit</v>
      </c>
      <c r="F6" s="16" t="str">
        <v>Minimal CapEx Baseline</v>
      </c>
      <c r="G6" s="20">
        <v>28532</v>
      </c>
      <c r="H6" s="20">
        <f>D6*G6</f>
        <v>4565120</v>
      </c>
      <c r="I6" s="16" t="str">
        <v>Customer specified baseline component</v>
      </c>
      <c r="J6" s="16" t="str">
        <v>CANDIDATE DOCUMENT REVIEW: UNVERIFIED</v>
      </c>
      <c r="K6" s="16" t="str">
        <v>Strict baseline buildable tier eliminating all optional add-ons to minimize total CapEx expenditure while remaining 100% buildable.</v>
      </c>
      <c r="L6" s="16" t="str">
        <v>LOCAL_RULE_CHECKED; PORTAL VALIDATION PENDING</v>
      </c>
    </row>
    <row r="7">
      <c r="A7" s="13" t="str">
        <v>P74710-B21</v>
      </c>
      <c r="B7" s="21">
        <v>1</v>
      </c>
      <c r="C7" s="21">
        <v>20</v>
      </c>
      <c r="D7" s="21">
        <f>B7*C7</f>
        <v>20</v>
      </c>
      <c r="E7" s="14" t="str">
        <v>HPE ProLiant Compute DL380a Gen12 4SFF FIO Drive Cage Kit</v>
      </c>
      <c r="F7" s="14" t="str">
        <v>Minimal CapEx Baseline</v>
      </c>
      <c r="G7" s="22">
        <v>372</v>
      </c>
      <c r="H7" s="22">
        <f>D7*G7</f>
        <v>7440</v>
      </c>
      <c r="I7" s="14" t="str">
        <v>Customer specified baseline component</v>
      </c>
      <c r="J7" s="14" t="str">
        <v>CANDIDATE DOCUMENT REVIEW: UNVERIFIED</v>
      </c>
      <c r="K7" s="14" t="str">
        <v>Strict baseline buildable tier eliminating all optional add-ons to minimize total CapEx expenditure while remaining 100% buildable.</v>
      </c>
      <c r="L7" s="14" t="str">
        <v>LOCAL_RULE_CHECKED; PORTAL VALIDATION PENDING</v>
      </c>
    </row>
    <row r="8">
      <c r="A8" s="15" t="str">
        <v>P70436-B21</v>
      </c>
      <c r="B8" s="19">
        <v>2</v>
      </c>
      <c r="C8" s="19">
        <v>20</v>
      </c>
      <c r="D8" s="19">
        <f>B8*C8</f>
        <v>40</v>
      </c>
      <c r="E8" s="16" t="str">
        <v>HPE 15.36TB NVMe Gen4 High Performance Read Intensive SFF BC U.3 PS1010 SSD</v>
      </c>
      <c r="F8" s="16" t="str">
        <v>Minimal CapEx Baseline</v>
      </c>
      <c r="G8" s="20">
        <v>131585</v>
      </c>
      <c r="H8" s="20">
        <f>D8*G8</f>
        <v>5263400</v>
      </c>
      <c r="I8" s="16" t="str">
        <v>Customer specified baseline component</v>
      </c>
      <c r="J8" s="16" t="str">
        <v>CANDIDATE DOCUMENT REVIEW: UNVERIFIED</v>
      </c>
      <c r="K8" s="16" t="str">
        <v>Strict baseline buildable tier eliminating all optional add-ons to minimize total CapEx expenditure while remaining 100% buildable.</v>
      </c>
      <c r="L8" s="16" t="str">
        <v>LOCAL_RULE_CHECKED; PORTAL VALIDATION PENDING</v>
      </c>
    </row>
    <row r="9">
      <c r="A9" s="13" t="str">
        <v>P74690-B21</v>
      </c>
      <c r="B9" s="21">
        <v>1</v>
      </c>
      <c r="C9" s="21">
        <v>20</v>
      </c>
      <c r="D9" s="21">
        <f>B9*C9</f>
        <v>20</v>
      </c>
      <c r="E9" s="14" t="str">
        <v>HPE ProLiant Compute DL380a Gen12 PCIe Rear FIO Kit</v>
      </c>
      <c r="F9" s="14" t="str">
        <v>Minimal CapEx Baseline</v>
      </c>
      <c r="G9" s="22">
        <v>988</v>
      </c>
      <c r="H9" s="22">
        <f>D9*G9</f>
        <v>19760</v>
      </c>
      <c r="I9" s="14" t="str">
        <v>Customer specified baseline component</v>
      </c>
      <c r="J9" s="14" t="str">
        <v>CANDIDATE DOCUMENT REVIEW: UNVERIFIED</v>
      </c>
      <c r="K9" s="14" t="str">
        <v>Strict baseline buildable tier eliminating all optional add-ons to minimize total CapEx expenditure while remaining 100% buildable.</v>
      </c>
      <c r="L9" s="14" t="str">
        <v>LOCAL_RULE_CHECKED; PORTAL VALIDATION PENDING</v>
      </c>
    </row>
    <row r="10">
      <c r="A10" s="15" t="str">
        <v>P47777-B21</v>
      </c>
      <c r="B10" s="19">
        <v>1</v>
      </c>
      <c r="C10" s="19">
        <v>20</v>
      </c>
      <c r="D10" s="19">
        <f>B10*C10</f>
        <v>20</v>
      </c>
      <c r="E10" s="16" t="str">
        <v>HPE MR416i-p Gen11 x16 Lanes 8GB Cache PCI SPDM Plug-in Storage Controller</v>
      </c>
      <c r="F10" s="16" t="str">
        <v>Minimal CapEx Baseline</v>
      </c>
      <c r="G10" s="20">
        <v>5999</v>
      </c>
      <c r="H10" s="20">
        <f>D10*G10</f>
        <v>119980</v>
      </c>
      <c r="I10" s="16" t="str">
        <v>Customer specified baseline component</v>
      </c>
      <c r="J10" s="16" t="str">
        <v>CANDIDATE DOCUMENT REVIEW: UNVERIFIED</v>
      </c>
      <c r="K10" s="16" t="str">
        <v>Strict baseline buildable tier eliminating all optional add-ons to minimize total CapEx expenditure while remaining 100% buildable.</v>
      </c>
      <c r="L10" s="16" t="str">
        <v>LOCAL_RULE_CHECKED; PORTAL VALIDATION PENDING</v>
      </c>
    </row>
    <row r="11">
      <c r="A11" s="13" t="str">
        <v>R2E09A</v>
      </c>
      <c r="B11" s="21">
        <v>1</v>
      </c>
      <c r="C11" s="21">
        <v>20</v>
      </c>
      <c r="D11" s="21">
        <f>B11*C11</f>
        <v>20</v>
      </c>
      <c r="E11" s="14" t="str">
        <v>HPE SN1610Q 32Gb 2-port Fibre Channel Host Bus Adapter</v>
      </c>
      <c r="F11" s="14" t="str">
        <v>Minimal CapEx Baseline</v>
      </c>
      <c r="G11" s="22">
        <v>0</v>
      </c>
      <c r="H11" s="22">
        <f>D11*G11</f>
        <v>0</v>
      </c>
      <c r="I11" s="14" t="str">
        <v>Customer specified baseline component</v>
      </c>
      <c r="J11" s="14" t="str">
        <v>CANDIDATE DOCUMENT REVIEW: UNVERIFIED</v>
      </c>
      <c r="K11" s="14" t="str">
        <v>Strict baseline buildable tier eliminating all optional add-ons to minimize total CapEx expenditure while remaining 100% buildable.</v>
      </c>
      <c r="L11" s="14" t="str">
        <v>LOCAL_RULE_CHECKED; PORTAL VALIDATION PENDING</v>
      </c>
    </row>
    <row r="12">
      <c r="A12" s="15" t="str">
        <v>P26262-B21</v>
      </c>
      <c r="B12" s="19">
        <v>1</v>
      </c>
      <c r="C12" s="19">
        <v>20</v>
      </c>
      <c r="D12" s="19">
        <f>B12*C12</f>
        <v>20</v>
      </c>
      <c r="E12" s="16" t="str">
        <v>Broadcom BCM57414 Ethernet 10/25Gb 2-port SFP28 Adapter for HPE</v>
      </c>
      <c r="F12" s="16" t="str">
        <v>Minimal CapEx Baseline</v>
      </c>
      <c r="G12" s="20">
        <v>0</v>
      </c>
      <c r="H12" s="20">
        <f>D12*G12</f>
        <v>0</v>
      </c>
      <c r="I12" s="16" t="str">
        <v>Customer specified baseline component</v>
      </c>
      <c r="J12" s="16" t="str">
        <v>CANDIDATE DOCUMENT REVIEW: UNVERIFIED</v>
      </c>
      <c r="K12" s="16" t="str">
        <v>Strict baseline buildable tier eliminating all optional add-ons to minimize total CapEx expenditure while remaining 100% buildable.</v>
      </c>
      <c r="L12" s="16" t="str">
        <v>LOCAL_RULE_CHECKED; PORTAL VALIDATION PENDING</v>
      </c>
    </row>
    <row r="13">
      <c r="A13" s="13" t="str">
        <v>P74714-B21</v>
      </c>
      <c r="B13" s="21">
        <v>2</v>
      </c>
      <c r="C13" s="21">
        <v>20</v>
      </c>
      <c r="D13" s="21">
        <f>B13*C13</f>
        <v>40</v>
      </c>
      <c r="E13" s="14" t="str">
        <v>HPE ProLiant Compute DL380a Gen12 Switchboard FIO Enablement Kit</v>
      </c>
      <c r="F13" s="14" t="str">
        <v>Minimal CapEx Baseline</v>
      </c>
      <c r="G13" s="22">
        <v>8890</v>
      </c>
      <c r="H13" s="22">
        <f>D13*G13</f>
        <v>355600</v>
      </c>
      <c r="I13" s="14" t="str">
        <v>Customer specified baseline component</v>
      </c>
      <c r="J13" s="14" t="str">
        <v>CANDIDATE DOCUMENT REVIEW: UNVERIFIED</v>
      </c>
      <c r="K13" s="14" t="str">
        <v>Strict baseline buildable tier eliminating all optional add-ons to minimize total CapEx expenditure while remaining 100% buildable.</v>
      </c>
      <c r="L13" s="14" t="str">
        <v>LOCAL_RULE_CHECKED; PORTAL VALIDATION PENDING</v>
      </c>
    </row>
    <row r="14">
      <c r="A14" s="15" t="str">
        <v>S3U30C</v>
      </c>
      <c r="B14" s="19">
        <v>8</v>
      </c>
      <c r="C14" s="19">
        <v>20</v>
      </c>
      <c r="D14" s="19">
        <f>B14*C14</f>
        <v>160</v>
      </c>
      <c r="E14" s="16" t="str">
        <v>NVIDIA H200 NVL 141GB PCIe Accelerator for HPE</v>
      </c>
      <c r="F14" s="16" t="str">
        <v>Minimal CapEx Baseline</v>
      </c>
      <c r="G14" s="20">
        <v>112579</v>
      </c>
      <c r="H14" s="20">
        <f>D14*G14</f>
        <v>18012640</v>
      </c>
      <c r="I14" s="16" t="str">
        <v>Customer specified baseline component</v>
      </c>
      <c r="J14" s="16" t="str">
        <v>CANDIDATE DOCUMENT REVIEW: UNVERIFIED</v>
      </c>
      <c r="K14" s="16" t="str">
        <v>Strict baseline buildable tier eliminating all optional add-ons to minimize total CapEx expenditure while remaining 100% buildable.</v>
      </c>
      <c r="L14" s="16" t="str">
        <v>LOCAL_RULE_CHECKED; PORTAL VALIDATION PENDING</v>
      </c>
    </row>
    <row r="15">
      <c r="A15" s="13" t="str">
        <v>P01367-B21</v>
      </c>
      <c r="B15" s="21">
        <v>1</v>
      </c>
      <c r="C15" s="21">
        <v>20</v>
      </c>
      <c r="D15" s="21">
        <f>B15*C15</f>
        <v>20</v>
      </c>
      <c r="E15" s="14" t="str">
        <v>HPE 96W Smart Storage Lithium-ion Battery with 260mm Cable Kit</v>
      </c>
      <c r="F15" s="14" t="str">
        <v>Minimal CapEx Baseline</v>
      </c>
      <c r="G15" s="22">
        <v>140</v>
      </c>
      <c r="H15" s="22">
        <f>D15*G15</f>
        <v>2800</v>
      </c>
      <c r="I15" s="14" t="str">
        <v>Customer specified baseline component</v>
      </c>
      <c r="J15" s="14" t="str">
        <v>CANDIDATE DOCUMENT REVIEW: UNVERIFIED</v>
      </c>
      <c r="K15" s="14" t="str">
        <v>Strict baseline buildable tier eliminating all optional add-ons to minimize total CapEx expenditure while remaining 100% buildable.</v>
      </c>
      <c r="L15" s="14" t="str">
        <v>LOCAL_RULE_CHECKED; PORTAL VALIDATION PENDING</v>
      </c>
    </row>
    <row r="16">
      <c r="A16" s="15" t="str">
        <v>845398-B21</v>
      </c>
      <c r="B16" s="19">
        <v>2</v>
      </c>
      <c r="C16" s="19">
        <v>20</v>
      </c>
      <c r="D16" s="19">
        <f>B16*C16</f>
        <v>40</v>
      </c>
      <c r="E16" s="16" t="str">
        <v>HPE 25Gb SFP28 SR 100m Transceiver</v>
      </c>
      <c r="F16" s="16" t="str">
        <v>Minimal CapEx Baseline</v>
      </c>
      <c r="G16" s="20">
        <v>2110</v>
      </c>
      <c r="H16" s="20">
        <f>D16*G16</f>
        <v>84400</v>
      </c>
      <c r="I16" s="16" t="str">
        <v>Customer specified baseline component</v>
      </c>
      <c r="J16" s="16" t="str">
        <v>CANDIDATE DOCUMENT REVIEW: UNVERIFIED</v>
      </c>
      <c r="K16" s="16" t="str">
        <v>Strict baseline buildable tier eliminating all optional add-ons to minimize total CapEx expenditure while remaining 100% buildable.</v>
      </c>
      <c r="L16" s="16" t="str">
        <v>LOCAL_RULE_CHECKED; PORTAL VALIDATION PENDING</v>
      </c>
    </row>
    <row r="17">
      <c r="A17" s="13" t="str">
        <v>P67252-B21</v>
      </c>
      <c r="B17" s="21">
        <v>8</v>
      </c>
      <c r="C17" s="21">
        <v>20</v>
      </c>
      <c r="D17" s="21">
        <f>B17*C17</f>
        <v>160</v>
      </c>
      <c r="E17" s="14" t="str">
        <v>HPE 2400W M-CRPS Titanium Hot Plug Power Supply Kit</v>
      </c>
      <c r="F17" s="14" t="str">
        <v>Minimal CapEx Baseline</v>
      </c>
      <c r="G17" s="22">
        <v>2509</v>
      </c>
      <c r="H17" s="22">
        <f>D17*G17</f>
        <v>401440</v>
      </c>
      <c r="I17" s="14" t="str">
        <v>Customer specified baseline component</v>
      </c>
      <c r="J17" s="14" t="str">
        <v>CANDIDATE DOCUMENT REVIEW: UNVERIFIED</v>
      </c>
      <c r="K17" s="14" t="str">
        <v>Strict baseline buildable tier eliminating all optional add-ons to minimize total CapEx expenditure while remaining 100% buildable.</v>
      </c>
      <c r="L17" s="14" t="str">
        <v>LOCAL_RULE_CHECKED; PORTAL VALIDATION PENDING</v>
      </c>
    </row>
    <row r="18">
      <c r="A18" s="15" t="str">
        <v>295633-B22</v>
      </c>
      <c r="B18" s="19">
        <v>5</v>
      </c>
      <c r="C18" s="19">
        <v>20</v>
      </c>
      <c r="D18" s="19">
        <f>B18*C18</f>
        <v>100</v>
      </c>
      <c r="E18" s="16" t="str">
        <v>HPE C19 - C20 WW 250V 16Amp 2.5m Jumper Cord</v>
      </c>
      <c r="F18" s="16" t="str">
        <v>Minimal CapEx Baseline</v>
      </c>
      <c r="G18" s="20">
        <v>0</v>
      </c>
      <c r="H18" s="20">
        <f>D18*G18</f>
        <v>0</v>
      </c>
      <c r="I18" s="16" t="str">
        <v>Customer specified baseline component</v>
      </c>
      <c r="J18" s="16" t="str">
        <v>CANDIDATE DOCUMENT REVIEW: UNVERIFIED</v>
      </c>
      <c r="K18" s="16" t="str">
        <v>Strict baseline buildable tier eliminating all optional add-ons to minimize total CapEx expenditure while remaining 100% buildable.</v>
      </c>
      <c r="L18" s="16" t="str">
        <v>LOCAL_RULE_CHECKED; PORTAL VALIDATION PENDING</v>
      </c>
    </row>
    <row r="19">
      <c r="A19" s="13" t="str">
        <v>P78384-B21</v>
      </c>
      <c r="B19" s="21">
        <v>3</v>
      </c>
      <c r="C19" s="21">
        <v>20</v>
      </c>
      <c r="D19" s="21">
        <f>B19*C19</f>
        <v>60</v>
      </c>
      <c r="E19" s="14" t="str">
        <v>HPE C19 - C20 250V 16Amp 2.5m FIO Power Cord</v>
      </c>
      <c r="F19" s="14" t="str">
        <v>Minimal CapEx Baseline</v>
      </c>
      <c r="G19" s="22">
        <v>0</v>
      </c>
      <c r="H19" s="22">
        <f>D19*G19</f>
        <v>0</v>
      </c>
      <c r="I19" s="14" t="str">
        <v>Customer specified baseline component</v>
      </c>
      <c r="J19" s="14" t="str">
        <v>CANDIDATE DOCUMENT REVIEW: UNVERIFIED</v>
      </c>
      <c r="K19" s="14" t="str">
        <v>Strict baseline buildable tier eliminating all optional add-ons to minimize total CapEx expenditure while remaining 100% buildable.</v>
      </c>
      <c r="L19" s="14" t="str">
        <v>LOCAL_RULE_CHECKED; PORTAL VALIDATION PENDING</v>
      </c>
    </row>
    <row r="20">
      <c r="A20" s="15" t="str">
        <v>BD505A</v>
      </c>
      <c r="B20" s="19">
        <v>1</v>
      </c>
      <c r="C20" s="19">
        <v>20</v>
      </c>
      <c r="D20" s="19">
        <f>B20*C20</f>
        <v>20</v>
      </c>
      <c r="E20" s="16" t="str">
        <v>HPE iLO Advanced 1-server License with 3yr Support on iLO Licensed Features</v>
      </c>
      <c r="F20" s="16" t="str">
        <v>Minimal CapEx Baseline</v>
      </c>
      <c r="G20" s="20">
        <v>469</v>
      </c>
      <c r="H20" s="20">
        <f>D20*G20</f>
        <v>9380</v>
      </c>
      <c r="I20" s="16" t="str">
        <v>Customer specified baseline component</v>
      </c>
      <c r="J20" s="16" t="str">
        <v>CANDIDATE DOCUMENT REVIEW: UNVERIFIED</v>
      </c>
      <c r="K20" s="16" t="str">
        <v>Strict baseline buildable tier eliminating all optional add-ons to minimize total CapEx expenditure while remaining 100% buildable.</v>
      </c>
      <c r="L20" s="16" t="str">
        <v>LOCAL_RULE_CHECKED; PORTAL VALIDATION PENDING</v>
      </c>
    </row>
    <row r="21">
      <c r="A21" s="13" t="str">
        <v>S1A05A</v>
      </c>
      <c r="B21" s="21">
        <v>1</v>
      </c>
      <c r="C21" s="21">
        <v>20</v>
      </c>
      <c r="D21" s="21">
        <f>B21*C21</f>
        <v>20</v>
      </c>
      <c r="E21" s="14" t="str">
        <v>HPE Compute Cloud Management Server FIO Enablement</v>
      </c>
      <c r="F21" s="14" t="str">
        <v>Minimal CapEx Baseline</v>
      </c>
      <c r="G21" s="22">
        <v>0</v>
      </c>
      <c r="H21" s="22">
        <f>D21*G21</f>
        <v>0</v>
      </c>
      <c r="I21" s="14" t="str">
        <v>Customer specified baseline component</v>
      </c>
      <c r="J21" s="14" t="str">
        <v>CANDIDATE DOCUMENT REVIEW: UNVERIFIED</v>
      </c>
      <c r="K21" s="14" t="str">
        <v>Strict baseline buildable tier eliminating all optional add-ons to minimize total CapEx expenditure while remaining 100% buildable.</v>
      </c>
      <c r="L21" s="14" t="str">
        <v>LOCAL_RULE_CHECKED; PORTAL VALIDATION PENDING</v>
      </c>
    </row>
    <row r="22">
      <c r="A22" s="15" t="str">
        <v>P74694-B21</v>
      </c>
      <c r="B22" s="19">
        <v>1</v>
      </c>
      <c r="C22" s="19">
        <v>20</v>
      </c>
      <c r="D22" s="19">
        <f>B22*C22</f>
        <v>20</v>
      </c>
      <c r="E22" s="16" t="str">
        <v>HPE ProLiant Compute DL380a Gen12 OCPA Cable Kit</v>
      </c>
      <c r="F22" s="16" t="str">
        <v>Minimal CapEx Baseline</v>
      </c>
      <c r="G22" s="20">
        <v>75</v>
      </c>
      <c r="H22" s="20">
        <f>D22*G22</f>
        <v>1500</v>
      </c>
      <c r="I22" s="16" t="str">
        <v>Customer specified baseline component</v>
      </c>
      <c r="J22" s="16" t="str">
        <v>CANDIDATE DOCUMENT REVIEW: UNVERIFIED</v>
      </c>
      <c r="K22" s="16" t="str">
        <v>Strict baseline buildable tier eliminating all optional add-ons to minimize total CapEx expenditure while remaining 100% buildable.</v>
      </c>
      <c r="L22" s="16" t="str">
        <v>LOCAL_RULE_CHECKED; PORTAL VALIDATION PENDING</v>
      </c>
    </row>
    <row r="23">
      <c r="A23" s="13" t="str">
        <v>P74700-B21</v>
      </c>
      <c r="B23" s="21">
        <v>4</v>
      </c>
      <c r="C23" s="21">
        <v>20</v>
      </c>
      <c r="D23" s="21">
        <f>B23*C23</f>
        <v>80</v>
      </c>
      <c r="E23" s="14" t="str">
        <v>HPE ProLiant Compute DL380a Gen12 GPU 16-pin FIO Cable Kit</v>
      </c>
      <c r="F23" s="14" t="str">
        <v>Minimal CapEx Baseline</v>
      </c>
      <c r="G23" s="22">
        <v>0</v>
      </c>
      <c r="H23" s="22">
        <f>D23*G23</f>
        <v>0</v>
      </c>
      <c r="I23" s="14" t="str">
        <v>Customer specified baseline component</v>
      </c>
      <c r="J23" s="14" t="str">
        <v>CANDIDATE DOCUMENT REVIEW: UNVERIFIED</v>
      </c>
      <c r="K23" s="14" t="str">
        <v>Strict baseline buildable tier eliminating all optional add-ons to minimize total CapEx expenditure while remaining 100% buildable.</v>
      </c>
      <c r="L23" s="14" t="str">
        <v>LOCAL_RULE_CHECKED; PORTAL VALIDATION PENDING</v>
      </c>
    </row>
    <row r="24">
      <c r="A24" s="15" t="str">
        <v>P76700-B21</v>
      </c>
      <c r="B24" s="19">
        <v>1</v>
      </c>
      <c r="C24" s="19">
        <v>20</v>
      </c>
      <c r="D24" s="19">
        <f>B24*C24</f>
        <v>20</v>
      </c>
      <c r="E24" s="16" t="str">
        <v>HPE ProLiant Compute DL380a Gen12 NVMe to Tri-Mode PCIe FIO Cable Kit</v>
      </c>
      <c r="F24" s="16" t="str">
        <v>Minimal CapEx Baseline</v>
      </c>
      <c r="G24" s="20">
        <v>518</v>
      </c>
      <c r="H24" s="20">
        <f>D24*G24</f>
        <v>10360</v>
      </c>
      <c r="I24" s="16" t="str">
        <v>Customer specified baseline component</v>
      </c>
      <c r="J24" s="16" t="str">
        <v>CANDIDATE DOCUMENT REVIEW: UNVERIFIED</v>
      </c>
      <c r="K24" s="16" t="str">
        <v>Strict baseline buildable tier eliminating all optional add-ons to minimize total CapEx expenditure while remaining 100% buildable.</v>
      </c>
      <c r="L24" s="16" t="str">
        <v>LOCAL_RULE_CHECKED; PORTAL VALIDATION PENDING</v>
      </c>
    </row>
    <row r="25">
      <c r="A25" s="13" t="str">
        <v>P79656-B21</v>
      </c>
      <c r="B25" s="21">
        <v>1</v>
      </c>
      <c r="C25" s="21">
        <v>20</v>
      </c>
      <c r="D25" s="21">
        <f>B25*C25</f>
        <v>20</v>
      </c>
      <c r="E25" s="14" t="str">
        <v>HPE ProLiant Compute DL380a Gen12 Front Chassis Fan Module Kit</v>
      </c>
      <c r="F25" s="14" t="str">
        <v>Minimal CapEx Baseline</v>
      </c>
      <c r="G25" s="22">
        <v>712</v>
      </c>
      <c r="H25" s="22">
        <f>D25*G25</f>
        <v>14240</v>
      </c>
      <c r="I25" s="14" t="str">
        <v>Customer specified baseline component</v>
      </c>
      <c r="J25" s="14" t="str">
        <v>CANDIDATE DOCUMENT REVIEW: UNVERIFIED</v>
      </c>
      <c r="K25" s="14" t="str">
        <v>Strict baseline buildable tier eliminating all optional add-ons to minimize total CapEx expenditure while remaining 100% buildable.</v>
      </c>
      <c r="L25" s="14" t="str">
        <v>LOCAL_RULE_CHECKED; PORTAL VALIDATION PENDING</v>
      </c>
    </row>
    <row r="26">
      <c r="A26" s="15" t="str">
        <v>P74911-B21</v>
      </c>
      <c r="B26" s="19">
        <v>1</v>
      </c>
      <c r="C26" s="19">
        <v>20</v>
      </c>
      <c r="D26" s="19">
        <f>B26*C26</f>
        <v>20</v>
      </c>
      <c r="E26" s="16" t="str">
        <v>HPE ProLiant Compute DL380a Gen12 4U Bezel Kit</v>
      </c>
      <c r="F26" s="16" t="str">
        <v>Minimal CapEx Baseline</v>
      </c>
      <c r="G26" s="20">
        <v>146</v>
      </c>
      <c r="H26" s="20">
        <f>D26*G26</f>
        <v>2920</v>
      </c>
      <c r="I26" s="16" t="str">
        <v>Customer specified baseline component</v>
      </c>
      <c r="J26" s="16" t="str">
        <v>CANDIDATE DOCUMENT REVIEW: UNVERIFIED</v>
      </c>
      <c r="K26" s="16" t="str">
        <v>Strict baseline buildable tier eliminating all optional add-ons to minimize total CapEx expenditure while remaining 100% buildable.</v>
      </c>
      <c r="L26" s="16" t="str">
        <v>LOCAL_RULE_CHECKED; PORTAL VALIDATION PENDING</v>
      </c>
    </row>
    <row r="27">
      <c r="A27" s="13" t="str">
        <v>P69770-B21</v>
      </c>
      <c r="B27" s="21">
        <v>1</v>
      </c>
      <c r="C27" s="21">
        <v>20</v>
      </c>
      <c r="D27" s="21">
        <f>B27*C27</f>
        <v>20</v>
      </c>
      <c r="E27" s="14" t="str">
        <v>HPE ProLiant Compute DL380a Gen12 Ball Bearing Rail Kit</v>
      </c>
      <c r="F27" s="14" t="str">
        <v>Minimal CapEx Baseline</v>
      </c>
      <c r="G27" s="22">
        <v>950</v>
      </c>
      <c r="H27" s="22">
        <f>D27*G27</f>
        <v>19000</v>
      </c>
      <c r="I27" s="14" t="str">
        <v>Customer specified baseline component</v>
      </c>
      <c r="J27" s="14" t="str">
        <v>CANDIDATE DOCUMENT REVIEW: UNVERIFIED</v>
      </c>
      <c r="K27" s="14" t="str">
        <v>Strict baseline buildable tier eliminating all optional add-ons to minimize total CapEx expenditure while remaining 100% buildable.</v>
      </c>
      <c r="L27" s="14" t="str">
        <v>LOCAL_RULE_CHECKED; PORTAL VALIDATION PENDING</v>
      </c>
    </row>
    <row r="28">
      <c r="A28" s="15" t="str">
        <v>P73325-B21</v>
      </c>
      <c r="B28" s="19">
        <v>1</v>
      </c>
      <c r="C28" s="19">
        <v>20</v>
      </c>
      <c r="D28" s="19">
        <f>B28*C28</f>
        <v>20</v>
      </c>
      <c r="E28" s="16" t="str">
        <v>HPE ProLiant Compute Localization FIO Kit</v>
      </c>
      <c r="F28" s="16" t="str">
        <v>Minimal CapEx Baseline</v>
      </c>
      <c r="G28" s="20">
        <v>4</v>
      </c>
      <c r="H28" s="20">
        <f>D28*G28</f>
        <v>80</v>
      </c>
      <c r="I28" s="16" t="str">
        <v>Customer specified baseline component</v>
      </c>
      <c r="J28" s="16" t="str">
        <v>CANDIDATE DOCUMENT REVIEW: UNVERIFIED</v>
      </c>
      <c r="K28" s="16" t="str">
        <v>Strict baseline buildable tier eliminating all optional add-ons to minimize total CapEx expenditure while remaining 100% buildable.</v>
      </c>
      <c r="L28" s="16" t="str">
        <v>LOCAL_RULE_CHECKED; PORTAL VALIDATION PENDING</v>
      </c>
    </row>
    <row r="29">
      <c r="A29" s="13" t="str">
        <v>P75008-B21</v>
      </c>
      <c r="B29" s="21">
        <v>1</v>
      </c>
      <c r="C29" s="21">
        <v>20</v>
      </c>
      <c r="D29" s="21">
        <f>B29*C29</f>
        <v>20</v>
      </c>
      <c r="E29" s="14" t="str">
        <v>HPE ProLiant Compute DL380a Gen12 8 Double Wide/16 Single Wide FIO Configuration</v>
      </c>
      <c r="F29" s="14" t="str">
        <v>Minimal CapEx Baseline</v>
      </c>
      <c r="G29" s="22">
        <v>1</v>
      </c>
      <c r="H29" s="22">
        <f>D29*G29</f>
        <v>20</v>
      </c>
      <c r="I29" s="14" t="str">
        <v>Customer specified baseline component</v>
      </c>
      <c r="J29" s="14" t="str">
        <v>CANDIDATE DOCUMENT REVIEW: UNVERIFIED</v>
      </c>
      <c r="K29" s="14" t="str">
        <v>Strict baseline buildable tier eliminating all optional add-ons to minimize total CapEx expenditure while remaining 100% buildable.</v>
      </c>
      <c r="L29" s="14" t="str">
        <v>LOCAL_RULE_CHECKED; PORTAL VALIDATION PENDING</v>
      </c>
    </row>
    <row r="30">
      <c r="A30" s="15" t="str">
        <v>P75284-B21</v>
      </c>
      <c r="B30" s="19">
        <v>1</v>
      </c>
      <c r="C30" s="19">
        <v>20</v>
      </c>
      <c r="D30" s="19">
        <f>B30*C30</f>
        <v>20</v>
      </c>
      <c r="E30" s="16" t="str">
        <v>HPE DL380a Gen12 NS204i-u Front Cage Kit</v>
      </c>
      <c r="F30" s="16" t="str">
        <v>Minimal CapEx Baseline</v>
      </c>
      <c r="G30" s="20">
        <v>158</v>
      </c>
      <c r="H30" s="20">
        <f>D30*G30</f>
        <v>3160</v>
      </c>
      <c r="I30" s="16" t="str">
        <v>Customer specified baseline component</v>
      </c>
      <c r="J30" s="16" t="str">
        <v>CANDIDATE DOCUMENT REVIEW: UNVERIFIED</v>
      </c>
      <c r="K30" s="16" t="str">
        <v>Strict baseline buildable tier eliminating all optional add-ons to minimize total CapEx expenditure while remaining 100% buildable.</v>
      </c>
      <c r="L30" s="16" t="str">
        <v>LOCAL_RULE_CHECKED; PORTAL VALIDATION PENDING</v>
      </c>
    </row>
    <row r="31">
      <c r="A31" s="13" t="str">
        <v>P79660-B21</v>
      </c>
      <c r="B31" s="21">
        <v>1</v>
      </c>
      <c r="C31" s="21">
        <v>20</v>
      </c>
      <c r="D31" s="21">
        <f>B31*C31</f>
        <v>20</v>
      </c>
      <c r="E31" s="14" t="str">
        <v>HPE ProLiant Compute DL380a Gen12 Front Panel Kit</v>
      </c>
      <c r="F31" s="14" t="str">
        <v>Minimal CapEx Baseline</v>
      </c>
      <c r="G31" s="22">
        <v>65</v>
      </c>
      <c r="H31" s="22">
        <f>D31*G31</f>
        <v>1300</v>
      </c>
      <c r="I31" s="14" t="str">
        <v>Customer specified baseline component</v>
      </c>
      <c r="J31" s="14" t="str">
        <v>CANDIDATE DOCUMENT REVIEW: UNVERIFIED</v>
      </c>
      <c r="K31" s="14" t="str">
        <v>Strict baseline buildable tier eliminating all optional add-ons to minimize total CapEx expenditure while remaining 100% buildable.</v>
      </c>
      <c r="L31" s="14" t="str">
        <v>LOCAL_RULE_CHECKED; PORTAL VALIDATION PENDING</v>
      </c>
    </row>
    <row r="32">
      <c r="A32" s="15" t="str">
        <v>P81160-B21</v>
      </c>
      <c r="B32" s="19">
        <v>1</v>
      </c>
      <c r="C32" s="19">
        <v>20</v>
      </c>
      <c r="D32" s="19">
        <f>B32*C32</f>
        <v>20</v>
      </c>
      <c r="E32" s="16" t="str">
        <v>HPE NS204i-u v2 960GB NVMe Hot Plug Boot Optimized Storage Device</v>
      </c>
      <c r="F32" s="16" t="str">
        <v>Minimal CapEx Baseline</v>
      </c>
      <c r="G32" s="20">
        <v>14299</v>
      </c>
      <c r="H32" s="20">
        <f>D32*G32</f>
        <v>285980</v>
      </c>
      <c r="I32" s="16" t="str">
        <v>Customer specified baseline component</v>
      </c>
      <c r="J32" s="16" t="str">
        <v>CANDIDATE DOCUMENT REVIEW: UNVERIFIED</v>
      </c>
      <c r="K32" s="16" t="str">
        <v>Strict baseline buildable tier eliminating all optional add-ons to minimize total CapEx expenditure while remaining 100% buildable.</v>
      </c>
      <c r="L32" s="16" t="str">
        <v>LOCAL_RULE_CHECKED; PORTAL VALIDATION PENDING</v>
      </c>
    </row>
    <row r="33">
      <c r="A33" s="13" t="str">
        <v>S4A91C</v>
      </c>
      <c r="B33" s="21">
        <v>2</v>
      </c>
      <c r="C33" s="21">
        <v>20</v>
      </c>
      <c r="D33" s="21">
        <f>B33*C33</f>
        <v>40</v>
      </c>
      <c r="E33" s="14" t="str">
        <v>NVIDIA 4-way NVLink Bridge for H200 NVL</v>
      </c>
      <c r="F33" s="14" t="str">
        <v>Minimal CapEx Baseline</v>
      </c>
      <c r="G33" s="22">
        <v>0</v>
      </c>
      <c r="H33" s="22">
        <f>D33*G33</f>
        <v>0</v>
      </c>
      <c r="I33" s="14" t="str">
        <v>Customer specified baseline component</v>
      </c>
      <c r="J33" s="14" t="str">
        <v>CANDIDATE DOCUMENT REVIEW: UNVERIFIED</v>
      </c>
      <c r="K33" s="14" t="str">
        <v>Strict baseline buildable tier eliminating all optional add-ons to minimize total CapEx expenditure while remaining 100% buildable.</v>
      </c>
      <c r="L33" s="14" t="str">
        <v>LOCAL_RULE_CHECKED; PORTAL VALIDATION PENDING</v>
      </c>
    </row>
    <row r="34">
      <c r="A34" s="15" t="str">
        <v>R7A11AAE</v>
      </c>
      <c r="B34" s="19">
        <v>1</v>
      </c>
      <c r="C34" s="19">
        <v>20</v>
      </c>
      <c r="D34" s="19">
        <f>B34*C34</f>
        <v>20</v>
      </c>
      <c r="E34" s="16" t="str">
        <v>HPE Compute Ops Management Standard 3-year Upfront ProLiant SaaS</v>
      </c>
      <c r="F34" s="16" t="str">
        <v>Minimal CapEx Baseline</v>
      </c>
      <c r="G34" s="20">
        <v>0</v>
      </c>
      <c r="H34" s="20">
        <f>D34*G34</f>
        <v>0</v>
      </c>
      <c r="I34" s="16" t="str">
        <v>Customer specified baseline component</v>
      </c>
      <c r="J34" s="16" t="str">
        <v>CANDIDATE DOCUMENT REVIEW: UNVERIFIED</v>
      </c>
      <c r="K34" s="16" t="str">
        <v>Strict baseline buildable tier eliminating all optional add-ons to minimize total CapEx expenditure while remaining 100% buildable.</v>
      </c>
      <c r="L34" s="16" t="str">
        <v>LOCAL_RULE_CHECKED; PORTAL VALIDATION PENDING</v>
      </c>
    </row>
    <row r="35">
      <c r="A35" s="13" t="str">
        <v>HA113A1</v>
      </c>
      <c r="B35" s="21">
        <v>1</v>
      </c>
      <c r="C35" s="21">
        <v>20</v>
      </c>
      <c r="D35" s="21">
        <f>B35*C35</f>
        <v>21</v>
      </c>
      <c r="E35" s="14" t="str">
        <v>HPE Installation Service</v>
      </c>
      <c r="F35" s="14" t="str">
        <v>Minimal CapEx Baseline</v>
      </c>
      <c r="G35" s="22">
        <v>0</v>
      </c>
      <c r="H35" s="22">
        <f>D35*G35</f>
        <v>0</v>
      </c>
      <c r="I35" s="14" t="str">
        <v>Customer specified baseline component</v>
      </c>
      <c r="J35" s="14" t="str">
        <v>CANDIDATE DOCUMENT REVIEW: UNVERIFIED</v>
      </c>
      <c r="K35" s="14" t="str">
        <v>Strict baseline buildable tier eliminating all optional add-ons to minimize total CapEx expenditure while remaining 100% buildable.</v>
      </c>
      <c r="L35" s="14" t="str">
        <v>LOCAL_RULE_CHECKED; PORTAL VALIDATION PENDING</v>
      </c>
    </row>
    <row r="36">
      <c r="A36" s="15" t="str">
        <v>HU4B2A3</v>
      </c>
      <c r="B36" s="19">
        <v>1</v>
      </c>
      <c r="C36" s="19">
        <v>1</v>
      </c>
      <c r="D36" s="19">
        <f>B36*C36</f>
        <v>1</v>
      </c>
      <c r="E36" s="16" t="str">
        <v>HPE 3Y Tech Care Basic Service</v>
      </c>
      <c r="F36" s="16" t="str">
        <v>Minimal CapEx Baseline</v>
      </c>
      <c r="G36" s="20">
        <v>0</v>
      </c>
      <c r="H36" s="20">
        <f>D36*G36</f>
        <v>0</v>
      </c>
      <c r="I36" s="16" t="str">
        <v>Customer specified baseline component</v>
      </c>
      <c r="J36" s="16" t="str">
        <v>CANDIDATE DOCUMENT REVIEW: UNVERIFIED</v>
      </c>
      <c r="K36" s="16" t="str">
        <v>Strict baseline buildable tier eliminating all optional add-ons to minimize total CapEx expenditure while remaining 100% buildable.</v>
      </c>
      <c r="L36" s="16" t="str">
        <v>LOCAL_RULE_CHECKED; PORTAL VALIDATION PENDING</v>
      </c>
    </row>
    <row r="37">
      <c r="A37" s="13" t="str">
        <v>HU4B2A30C4W</v>
      </c>
      <c r="B37" s="21">
        <v>1</v>
      </c>
      <c r="C37" s="21">
        <v>20</v>
      </c>
      <c r="D37" s="21">
        <f>B37*C37</f>
        <v>20</v>
      </c>
      <c r="E37" s="14" t="str">
        <v>HPE HPE DL380a Gen12 Support</v>
      </c>
      <c r="F37" s="14" t="str">
        <v>Minimal CapEx Baseline</v>
      </c>
      <c r="G37" s="22">
        <v>0</v>
      </c>
      <c r="H37" s="22">
        <f>D37*G37</f>
        <v>0</v>
      </c>
      <c r="I37" s="14" t="str">
        <v>Customer specified baseline component</v>
      </c>
      <c r="J37" s="14" t="str">
        <v>CANDIDATE DOCUMENT REVIEW: UNVERIFIED</v>
      </c>
      <c r="K37" s="14" t="str">
        <v>Strict baseline buildable tier eliminating all optional add-ons to minimize total CapEx expenditure while remaining 100% buildable.</v>
      </c>
      <c r="L37" s="14" t="str">
        <v>LOCAL_RULE_CHECKED; PORTAL VALIDATION PENDING</v>
      </c>
    </row>
    <row r="38">
      <c r="A38" s="23" t="str">
        <v>SUBTOTAL / ESTIMATED CAPEX</v>
      </c>
      <c r="B38" s="24" t="str">
        <v/>
      </c>
      <c r="C38" s="24" t="str">
        <v/>
      </c>
      <c r="D38" s="24" t="str">
        <v/>
      </c>
      <c r="E38" s="24" t="str">
        <v/>
      </c>
      <c r="F38" s="24" t="str">
        <v/>
      </c>
      <c r="G38" s="25" t="str">
        <v/>
      </c>
      <c r="H38" s="25">
        <f>SUM(H4:H37)</f>
        <v>29881860</v>
      </c>
      <c r="I38" s="24" t="str">
        <v>20 Node(s)</v>
      </c>
      <c r="J38" s="24" t="str">
        <v>CANDIDATE DOCUMENT REVIEW: UNVERIFIED</v>
      </c>
      <c r="K38" s="24" t="str">
        <v>LOCAL_RULE_CHECKED</v>
      </c>
      <c r="L38" s="24" t="str">
        <v>PORTAL VALIDATION PENDING</v>
      </c>
    </row>
  </sheetData>
  <ignoredErrors>
    <ignoredError numberStoredAsText="1" sqref="A1: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 &amp; Aspects</vt:lpstr>
      <vt:lpstr>Rank 1 - Rank 1 Straightforw</vt:lpstr>
      <vt:lpstr>Rank 2 - Rank 2 Standardized</vt:lpstr>
      <vt:lpstr>Rank 3 - Rank 3 High-IOPS &amp;</vt:lpstr>
      <vt:lpstr>Rank 4 - Rank 4 Maximum Dens</vt:lpstr>
      <vt:lpstr>Rank 5 - Rank 5 Budget &amp; 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