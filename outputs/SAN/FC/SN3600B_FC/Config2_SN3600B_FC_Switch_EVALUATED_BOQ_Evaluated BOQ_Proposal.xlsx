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Base BOM" sheetId="2" r:id="rId2"/>
    <sheet name="Missing Dependencies" sheetId="3" r:id="rId3"/>
    <sheet name="Strategy Add-ons" sheetId="4" r:id="rId4"/>
  </sheets>
  <definedNames>
    <definedName name="_xlnm._FilterDatabase" localSheetId="1">'Base BOM'!A1:F8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5" formatCode="&quot;$&quot;#,##0.00"/>
    <numFmt numFmtId="166" formatCode="&quot;$&quot;#,##0.00"/>
    <numFmt numFmtId="167" formatCode="&quot;$&quot;#,##0.00"/>
    <numFmt numFmtId="168" formatCode="&quot;$&quot;#,##0.00"/>
  </numFmts>
  <fonts count="10" x14ac:knownFonts="1">
    <font>
      <sz val="11"/>
      <name val="Calibri"/>
    </font>
    <font>
      <sz val="11"/>
      <name val="Calibri"/>
    </font>
    <font>
      <sz val="14"/>
      <name val="Calibri"/>
      <b/>
      <color rgb="0072C6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5803D"/>
    </font>
    <font>
      <sz val="11"/>
      <name val="Calibri"/>
      <b/>
      <color rgb="0F172A"/>
    </font>
    <font>
      <sz val="11"/>
      <name val="Courier New"/>
      <b/>
    </font>
    <font>
      <sz val="11"/>
      <name val="Calibri"/>
      <b/>
    </font>
    <font>
      <sz val="11"/>
      <name val="Calibri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  <fill>
      <patternFill patternType="solid">
        <fgColor rgb="FF0F172A"/>
        <bgColor/>
      </patternFill>
    </fill>
    <fill>
      <patternFill patternType="solid">
        <fgColor rgb="FFE2E8F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5" fontId="0" fillId="0" borderId="0" xfId="0" applyNumberFormat="1"/>
    <xf numFmtId="166" fontId="5" fillId="0" borderId="0" xfId="0" applyFont="1" applyNumberFormat="1"/>
    <xf numFmtId="0" fontId="6" fillId="4" borderId="0" xfId="0" applyFont="1" applyFill="1"/>
    <xf numFmtId="0" fontId="7" fillId="0" borderId="0" xfId="0" applyFont="1"/>
    <xf numFmtId="0" fontId="0" fillId="0" borderId="0" xfId="0"/>
    <xf numFmtId="167" fontId="0" fillId="0" borderId="0" xfId="0" applyNumberFormat="1"/>
    <xf numFmtId="0" fontId="8" fillId="0" borderId="0" xfId="0" applyFont="1"/>
    <xf numFmtId="168" fontId="9" fillId="0" borderId="0" xfId="0" applyFont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5.83203125" customWidth="1"/>
    <col min="2" max="2" width="80.83203125" customWidth="1"/>
  </cols>
  <sheetData>
    <row r="1">
      <c r="A1" s="3" t="str">
        <v>HPE BOQ EVALUATION REPORT - STRATEGY RANK 1</v>
      </c>
    </row>
    <row r="3">
      <c r="A3" s="4" t="str">
        <v>Field</v>
      </c>
      <c r="B3" s="5" t="str">
        <v>Value</v>
      </c>
    </row>
    <row r="4">
      <c r="A4" s="2" t="str">
        <v>Chassis Variant</v>
      </c>
      <c r="B4" s="2" t="str">
        <v>SN3600B_FC</v>
      </c>
    </row>
    <row r="5">
      <c r="A5" s="2" t="str">
        <v>Strategy Name</v>
      </c>
      <c r="B5" s="2" t="str">
        <v>SAN bundle reconciliation</v>
      </c>
    </row>
    <row r="6">
      <c r="A6" s="2" t="str">
        <v>Intent Match</v>
      </c>
      <c r="B6" s="2" t="str">
        <v>N/A</v>
      </c>
    </row>
    <row r="7">
      <c r="A7" s="2" t="str">
        <v>Base BOM Cost</v>
      </c>
      <c r="B7" s="6">
        <v>81496</v>
      </c>
    </row>
    <row r="8">
      <c r="A8" s="2" t="str">
        <v>Fix Cost</v>
      </c>
      <c r="B8" s="6">
        <v>0</v>
      </c>
    </row>
    <row r="9">
      <c r="A9" s="2" t="str">
        <v>Strategy Add-on Cost</v>
      </c>
      <c r="B9" s="6">
        <v>0</v>
      </c>
    </row>
    <row r="10">
      <c r="A10" s="2" t="str">
        <v>Total Estimated CapEx</v>
      </c>
      <c r="B10" s="7">
        <v>61929</v>
      </c>
    </row>
    <row r="12">
      <c r="A12" s="8" t="str">
        <v>NotebookLM RAG Reasoning</v>
      </c>
    </row>
    <row r="13">
      <c r="A13" s="2" t="str">
        <v>Remove standalone optics only where allocated to ports already supplied by base/upgrade bundles. Retain documented spares and remote-endpoint optics. Preserve the requested 24-port expansion.</v>
      </c>
    </row>
    <row r="14">
      <c r="A14" s="2" t="str">
        <v>Validation</v>
      </c>
      <c r="B14" s="2" t="str">
        <v>CLIC ACCEPTED — 2026-09-22T18:07:43.869Z</v>
      </c>
    </row>
    <row r="15">
      <c r="A15" s="2" t="str">
        <v>Pricing completeness</v>
      </c>
      <c r="B15" s="2" t="str">
        <v>Consult line pricing evidence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0.83203125" customWidth="1"/>
    <col min="2" max="2" width="10.83203125" customWidth="1"/>
    <col min="3" max="3" width="75.83203125" customWidth="1"/>
    <col min="4" max="4" width="20.83203125" customWidth="1"/>
    <col min="5" max="5" width="15.83203125" customWidth="1"/>
    <col min="6" max="6" width="20.83203125" customWidth="1"/>
    <col min="7" max="7" width="32.83203125" customWidth="1"/>
  </cols>
  <sheetData>
    <row r="1">
      <c r="A1" s="5" t="str">
        <v>SKU</v>
      </c>
      <c r="B1" s="5" t="str">
        <v>Quantity</v>
      </c>
      <c r="C1" s="5" t="str">
        <v>Description</v>
      </c>
      <c r="D1" s="5" t="str">
        <v>Category</v>
      </c>
      <c r="E1" s="5" t="str">
        <v>Unit Price (USD)</v>
      </c>
      <c r="F1" s="5" t="str">
        <v>Extended Price (USD)</v>
      </c>
      <c r="G1" s="5" t="str">
        <v>Pricing Impact &amp; Role</v>
      </c>
    </row>
    <row r="2">
      <c r="A2" s="9" t="str">
        <v>R7R97A</v>
      </c>
      <c r="B2" s="10">
        <v>1</v>
      </c>
      <c r="C2" s="2" t="str">
        <v>HPE SN3600B 32Gb 24/8 8-port 32Gb Short Wave SFP28 Fibre Channel Switch</v>
      </c>
      <c r="D2" s="2" t="str">
        <v>Standard</v>
      </c>
      <c r="E2" s="11">
        <v>19746</v>
      </c>
      <c r="F2" s="11">
        <f>B2*E2</f>
        <v>19746</v>
      </c>
      <c r="G2" s="2" t="str">
        <v>Standard Option</v>
      </c>
    </row>
    <row r="3">
      <c r="A3" s="9" t="str">
        <v>R7M09A</v>
      </c>
      <c r="B3" s="10">
        <v>2</v>
      </c>
      <c r="C3" s="2" t="str">
        <v>HPE SN3600B 32Gb 8-port Short Wave SFP28 Fibre Channel Upgrade License with Transceiver Kit</v>
      </c>
      <c r="D3" s="2" t="str">
        <v>Standard</v>
      </c>
      <c r="E3" s="11">
        <v>19950</v>
      </c>
      <c r="F3" s="11">
        <f>B3*E3</f>
        <v>39900</v>
      </c>
      <c r="G3" s="2" t="str">
        <v>Standard Option</v>
      </c>
    </row>
    <row r="4">
      <c r="A4" s="9" t="str">
        <v>QK735A</v>
      </c>
      <c r="B4" s="10">
        <v>8</v>
      </c>
      <c r="C4" s="2" t="str">
        <v>HPE Premier Flex LC/LC Multi-mode OM4 2 Fiber 15m Cable</v>
      </c>
      <c r="D4" s="2" t="str">
        <v>Standard</v>
      </c>
      <c r="E4" s="11">
        <v>195</v>
      </c>
      <c r="F4" s="11">
        <f>B4*E4</f>
        <v>1560</v>
      </c>
      <c r="G4" s="2" t="str">
        <v>Standard Option</v>
      </c>
    </row>
    <row r="5">
      <c r="A5" s="9" t="str">
        <v>HA113A1</v>
      </c>
      <c r="B5" s="10">
        <v>1</v>
      </c>
      <c r="C5" s="2" t="str">
        <v>HPE Installation Service</v>
      </c>
      <c r="D5" s="2" t="str">
        <v>Standard</v>
      </c>
      <c r="E5" s="11">
        <v>0</v>
      </c>
      <c r="F5" s="11">
        <f>B5*E5</f>
        <v>0</v>
      </c>
      <c r="G5" s="2" t="str">
        <v>CONFIRMED ZERO-PRICE SERVICE PARENT</v>
      </c>
    </row>
    <row r="6">
      <c r="A6" s="9" t="str">
        <v>HA113A1 5GA</v>
      </c>
      <c r="B6" s="10">
        <v>1</v>
      </c>
      <c r="C6" s="2" t="str">
        <v>HPE LowEnd SAN/Edge Switch/HAFM Inst SVC</v>
      </c>
      <c r="D6" s="2" t="str">
        <v>Standard</v>
      </c>
      <c r="E6" s="11">
        <v>537</v>
      </c>
      <c r="F6" s="11">
        <f>B6*E6</f>
        <v>537</v>
      </c>
      <c r="G6" s="2" t="str">
        <v>Standard Option</v>
      </c>
    </row>
    <row r="7">
      <c r="A7" s="9" t="str">
        <v>HU4B3A3</v>
      </c>
      <c r="B7" s="10">
        <v>1</v>
      </c>
      <c r="C7" s="2" t="str">
        <v>HPE 3Y Tech Care Basic with Defective Media Retention Service</v>
      </c>
      <c r="D7" s="2" t="str">
        <v>Standard</v>
      </c>
      <c r="E7" s="11">
        <v>0</v>
      </c>
      <c r="F7" s="11">
        <f>B7*E7</f>
        <v>0</v>
      </c>
      <c r="G7" s="2" t="str">
        <v>CONFIRMED ZERO-PRICE SERVICE PARENT</v>
      </c>
    </row>
    <row r="8">
      <c r="A8" s="9" t="str">
        <v>HU4B3A3 ZTL</v>
      </c>
      <c r="B8" s="10">
        <v>1</v>
      </c>
      <c r="C8" s="2" t="str">
        <v>HPE SN3600B 24/8 8p 32G Swch Support</v>
      </c>
      <c r="D8" s="2" t="str">
        <v>Standard</v>
      </c>
      <c r="E8" s="11">
        <v>186</v>
      </c>
      <c r="F8" s="11">
        <f>B8*E8</f>
        <v>186</v>
      </c>
      <c r="G8" s="2" t="str">
        <v>Standard Option</v>
      </c>
    </row>
    <row r="9">
      <c r="A9" s="12" t="str">
        <v>TOTAL</v>
      </c>
      <c r="B9" s="10" t="str">
        <v/>
      </c>
      <c r="C9" s="2" t="str">
        <v/>
      </c>
      <c r="D9" s="2" t="str">
        <v/>
      </c>
      <c r="E9" s="11" t="str">
        <v/>
      </c>
      <c r="F9" s="13">
        <f>SUM(F2:F8)</f>
      </c>
      <c r="G9" s="2" t="str">
        <v/>
      </c>
    </row>
  </sheetData>
  <sheetProtection sheet="1" selectLockedCells="1" selectUnlockedCells="1" formatCells="0" password="CC70"/>
  <autoFilter ref="A1:F8"/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0.83203125" customWidth="1"/>
    <col min="2" max="2" width="10.83203125" customWidth="1"/>
    <col min="3" max="3" width="75.83203125" customWidth="1"/>
    <col min="4" max="4" width="20.83203125" customWidth="1"/>
    <col min="5" max="5" width="15.83203125" customWidth="1"/>
    <col min="6" max="6" width="20.83203125" customWidth="1"/>
    <col min="7" max="7" width="32.83203125" customWidth="1"/>
  </cols>
  <sheetData>
    <row r="1">
      <c r="A1" s="5" t="str">
        <v>SKU</v>
      </c>
      <c r="B1" s="5" t="str">
        <v>Quantity</v>
      </c>
      <c r="C1" s="5" t="str">
        <v>Description</v>
      </c>
      <c r="D1" s="5" t="str">
        <v>Category</v>
      </c>
      <c r="E1" s="5" t="str">
        <v>Unit Price (USD)</v>
      </c>
      <c r="F1" s="5" t="str">
        <v>Extended Price (USD)</v>
      </c>
      <c r="G1" s="5" t="str">
        <v>Pricing Impact &amp; Role</v>
      </c>
    </row>
    <row r="2">
      <c r="A2" s="9" t="str">
        <v>No missing physical dependencies injected.</v>
      </c>
      <c r="B2" s="10" t="str">
        <v/>
      </c>
      <c r="C2" s="2" t="str">
        <v/>
      </c>
      <c r="D2" s="2" t="str">
        <v/>
      </c>
      <c r="E2" s="11" t="str">
        <v/>
      </c>
      <c r="F2" s="11" t="str">
        <v/>
      </c>
      <c r="G2" s="2" t="str">
        <v/>
      </c>
    </row>
  </sheetData>
  <sheetProtection sheet="1" selectLockedCells="1" selectUnlockedCells="1" formatCells="0" password="CC70"/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0.83203125" customWidth="1"/>
    <col min="2" max="2" width="10.83203125" customWidth="1"/>
    <col min="3" max="3" width="75.83203125" customWidth="1"/>
    <col min="4" max="4" width="20.83203125" customWidth="1"/>
    <col min="5" max="5" width="15.83203125" customWidth="1"/>
    <col min="6" max="6" width="20.83203125" customWidth="1"/>
    <col min="7" max="7" width="32.83203125" customWidth="1"/>
  </cols>
  <sheetData>
    <row r="1">
      <c r="A1" s="5" t="str">
        <v>SKU</v>
      </c>
      <c r="B1" s="5" t="str">
        <v>Quantity</v>
      </c>
      <c r="C1" s="5" t="str">
        <v>Description</v>
      </c>
      <c r="D1" s="5" t="str">
        <v>Category</v>
      </c>
      <c r="E1" s="5" t="str">
        <v>Unit Price (USD)</v>
      </c>
      <c r="F1" s="5" t="str">
        <v>Extended Price (USD)</v>
      </c>
      <c r="G1" s="5" t="str">
        <v>Pricing Impact &amp; Role</v>
      </c>
    </row>
    <row r="2">
      <c r="A2" s="9" t="str">
        <v>No strategy up-sell add-ons for this tier.</v>
      </c>
      <c r="B2" s="10" t="str">
        <v/>
      </c>
      <c r="C2" s="2" t="str">
        <v/>
      </c>
      <c r="D2" s="2" t="str">
        <v/>
      </c>
      <c r="E2" s="11" t="str">
        <v/>
      </c>
      <c r="F2" s="11" t="str">
        <v/>
      </c>
      <c r="G2" s="2" t="str">
        <v/>
      </c>
    </row>
  </sheetData>
  <sheetProtection sheet="1" selectLockedCells="1" selectUnlockedCells="1" formatCells="0" password="CC70"/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Base BOM</vt:lpstr>
      <vt:lpstr>Missing Dependencies</vt:lpstr>
      <vt:lpstr>Strategy Add-ons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