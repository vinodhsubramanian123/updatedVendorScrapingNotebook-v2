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 &amp; Aspects" sheetId="1" r:id="rId1"/>
    <sheet name="Rank 1 - SAN bundle reconcil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$#,##0.00"/>
    <numFmt numFmtId="166" formatCode="$#,##0.00"/>
    <numFmt numFmtId="167" formatCode="$#,##0.00"/>
    <numFmt numFmtId="168" formatCode="$#,##0.00"/>
  </numFmts>
  <fonts count="24" x14ac:knownFonts="1">
    <font>
      <sz val="11"/>
      <name val="Calibri"/>
    </font>
    <font>
      <sz val="11"/>
      <name val="Calibri"/>
    </font>
    <font>
      <sz val="12"/>
      <name val="Segoe UI"/>
      <b/>
      <color rgb="FFFFFF"/>
    </font>
    <font>
      <sz val="10"/>
      <name val="Segoe UI"/>
      <b/>
      <color rgb="FFFFFF"/>
    </font>
    <font>
      <sz val="11"/>
      <name val="Segoe UI"/>
      <b/>
      <color rgb="1E3E62"/>
    </font>
    <font>
      <sz val="10"/>
      <name val="Segoe UI"/>
      <b/>
      <color rgb="FFFFFF"/>
    </font>
    <font>
      <sz val="10"/>
      <name val="Segoe UI"/>
      <b/>
      <color rgb="000000"/>
    </font>
    <font>
      <sz val="10"/>
      <name val="Segoe UI"/>
      <color rgb="000000"/>
    </font>
    <font>
      <sz val="10"/>
      <name val="Segoe UI"/>
      <color rgb="000000"/>
    </font>
    <font>
      <sz val="10"/>
      <name val="Segoe UI"/>
      <b/>
      <color rgb="000000"/>
    </font>
    <font>
      <sz val="10"/>
      <name val="Segoe UI"/>
      <color rgb="000000"/>
    </font>
    <font>
      <sz val="9"/>
      <name val="Segoe UI"/>
      <b/>
      <color rgb="000000"/>
    </font>
    <font>
      <sz val="9"/>
      <name val="Segoe UI"/>
      <color rgb="000000"/>
    </font>
    <font>
      <sz val="11"/>
      <name val="Segoe UI"/>
      <b/>
      <color rgb="FFFFFF"/>
    </font>
    <font>
      <sz val="9"/>
      <name val="Segoe UI"/>
      <color rgb="FFFFFF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b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color rgb="000000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FFFFFF"/>
    </font>
  </fonts>
  <fills count="2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192C"/>
        <bgColor/>
      </patternFill>
    </fill>
    <fill>
      <patternFill patternType="solid">
        <fgColor rgb="FF1E3E62"/>
        <bgColor/>
      </patternFill>
    </fill>
    <fill>
      <patternFill patternType="solid">
        <fgColor rgb="FFF4F8F6"/>
        <bgColor/>
      </patternFill>
    </fill>
    <fill>
      <patternFill patternType="solid">
        <fgColor rgb="FF0B192C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B192C"/>
        <bgColor/>
      </patternFill>
    </fill>
    <fill>
      <patternFill patternType="solid">
        <fgColor rgb="FF1E3E6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</borders>
  <cellStyleXfs>
    <xf numFmtId="0" fontId="0" fillId="0" borderId="0"/>
  </cellStyleXfs>
  <cellXfs count="2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left" vertical="center" wrapText="true"/>
    </xf>
    <xf numFmtId="0" fontId="7" fillId="7" borderId="7" xfId="0" applyFont="1" applyFill="1" applyBorder="1" applyAlignment="1">
      <alignment horizontal="left" vertical="center" wrapText="true"/>
    </xf>
    <xf numFmtId="165" fontId="8" fillId="8" borderId="8" xfId="0" applyFont="1" applyFill="1" applyBorder="1" applyNumberFormat="1" applyAlignment="1">
      <alignment horizontal="right" vertical="center" wrapText="true"/>
    </xf>
    <xf numFmtId="0" fontId="9" fillId="9" borderId="9" xfId="0" applyFont="1" applyFill="1" applyBorder="1" applyAlignment="1">
      <alignment horizontal="left" vertical="center" wrapText="true"/>
    </xf>
    <xf numFmtId="0" fontId="10" fillId="10" borderId="10" xfId="0" applyFont="1" applyFill="1" applyBorder="1" applyAlignment="1">
      <alignment horizontal="left" vertical="center" wrapText="true"/>
    </xf>
    <xf numFmtId="0" fontId="11" fillId="11" borderId="11" xfId="0" applyFont="1" applyFill="1" applyBorder="1" applyAlignment="1">
      <alignment horizontal="left" vertical="center" wrapText="true"/>
    </xf>
    <xf numFmtId="0" fontId="12" fillId="12" borderId="12" xfId="0" applyFont="1" applyFill="1" applyBorder="1" applyAlignment="1">
      <alignment horizontal="left" vertical="center" wrapText="true"/>
    </xf>
    <xf numFmtId="0" fontId="13" fillId="13" borderId="13" xfId="0" applyFont="1" applyFill="1" applyBorder="1" applyAlignment="1">
      <alignment horizontal="center" vertical="center" wrapText="true"/>
    </xf>
    <xf numFmtId="0" fontId="14" fillId="14" borderId="14" xfId="0" applyFont="1" applyFill="1" applyBorder="1" applyAlignment="1">
      <alignment horizontal="left"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166" fontId="16" fillId="16" borderId="16" xfId="0" applyFont="1" applyFill="1" applyBorder="1" applyNumberFormat="1" applyAlignment="1">
      <alignment horizontal="right" vertical="center" wrapText="true"/>
    </xf>
    <xf numFmtId="0" fontId="17" fillId="17" borderId="17" xfId="0" applyFont="1" applyFill="1" applyBorder="1" applyAlignment="1">
      <alignment horizontal="left"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0" fontId="19" fillId="19" borderId="19" xfId="0" applyFont="1" applyFill="1" applyBorder="1" applyAlignment="1">
      <alignment horizontal="left" vertical="center" wrapText="true"/>
    </xf>
    <xf numFmtId="167" fontId="20" fillId="20" borderId="20" xfId="0" applyFont="1" applyFill="1" applyBorder="1" applyNumberFormat="1" applyAlignment="1">
      <alignment horizontal="right" vertical="center" wrapText="true"/>
    </xf>
    <xf numFmtId="0" fontId="21" fillId="21" borderId="21" xfId="0" applyFont="1" applyFill="1" applyBorder="1" applyAlignment="1">
      <alignment horizontal="left" vertical="center" wrapText="true"/>
    </xf>
    <xf numFmtId="0" fontId="22" fillId="22" borderId="22" xfId="0" applyFont="1" applyFill="1" applyBorder="1" applyAlignment="1">
      <alignment horizontal="center" vertical="center" wrapText="true"/>
    </xf>
    <xf numFmtId="168" fontId="23" fillId="23" borderId="23" xfId="0" applyFont="1" applyFill="1" applyBorder="1" applyNumberFormat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5.83203125" customWidth="1"/>
    <col min="2" max="2" width="35.83203125" customWidth="1"/>
    <col min="3" max="3" width="24.83203125" customWidth="1"/>
    <col min="4" max="4" width="32.83203125" customWidth="1"/>
    <col min="5" max="5" width="45.83203125" customWidth="1"/>
    <col min="6" max="6" width="35.83203125" customWidth="1"/>
    <col min="7" max="7" width="35.83203125" customWidth="1"/>
    <col min="8" max="8" width="32.83203125" customWidth="1"/>
  </cols>
  <sheetData>
    <row r="1">
      <c r="A1" s="3" t="str">
        <v>HPE PROLIANT AI STUDIO - MULTI-RANK SOLUTION WORKBOOK</v>
      </c>
    </row>
    <row r="2">
      <c r="A2" s="4" t="str">
        <v>Target Platform: SN3600B_FC | Scope: 1 Server Node(s) | Evaluation draft; consult individual validation gates</v>
      </c>
    </row>
    <row r="4">
      <c r="A4" s="5" t="str">
        <v>SOLUTION METRICS &amp; EVALUATION STATUS</v>
      </c>
    </row>
    <row r="5">
      <c r="A5" s="2" t="str">
        <v>Target Server / Chassis</v>
      </c>
      <c r="B5" s="2" t="str">
        <v>SN3600B_FC</v>
      </c>
    </row>
    <row r="6">
      <c r="A6" s="2" t="str">
        <v>Total Server Nodes</v>
      </c>
      <c r="B6" s="2">
        <v>1</v>
      </c>
    </row>
    <row r="7">
      <c r="A7" s="2" t="str">
        <v>Overall Physical Build Status</v>
      </c>
      <c r="B7" s="2" t="str">
        <v>LOCAL_RULE_CHECKED; CLIC ACCEPTED — 2026-09-22T07:58:17.037Z</v>
      </c>
    </row>
    <row r="8">
      <c r="A8" s="2" t="str">
        <v>Dual-Brain Verification Badge</v>
      </c>
      <c r="B8" s="2" t="str">
        <v>CANDIDATE DOCUMENT REVIEW PASSED; CLIC ACCEPTED — 2026-09-22T07:58:17.037Z</v>
      </c>
    </row>
    <row r="9">
      <c r="A9" s="2" t="str">
        <v>NotebookLM Knowledge Tier</v>
      </c>
      <c r="B9" s="2" t="str">
        <v>TIER_1_LIVE_CLOUD_GROUNDED</v>
      </c>
    </row>
    <row r="10">
      <c r="A10" s="2" t="str">
        <v>QuickSpecs Citations Verified</v>
      </c>
      <c r="B10" s="2" t="str">
        <v>32 Authoritative Citations</v>
      </c>
    </row>
    <row r="11">
      <c r="A11" s="2" t="str">
        <v>Evaluation Timestamp</v>
      </c>
      <c r="B11" s="2" t="str">
        <v>2026-09-22T13:06:25.590Z</v>
      </c>
    </row>
    <row r="13">
      <c r="A13" s="5" t="str">
        <v>STRATEGY RESOLUTION MATRIX COMPARISON (5 TIERS)</v>
      </c>
    </row>
    <row r="14">
      <c r="A14" s="6" t="str">
        <v>Rank Tier</v>
      </c>
      <c r="B14" s="6" t="str">
        <v>Strategy Name</v>
      </c>
      <c r="C14" s="6" t="str">
        <v>Estimated CapEx (USD)</v>
      </c>
      <c r="D14" s="6" t="str">
        <v>Fix Delta (USD)</v>
      </c>
      <c r="E14" s="6" t="str">
        <v>Intent Alignment</v>
      </c>
      <c r="F14" s="6" t="str">
        <v>Buildability Status</v>
      </c>
    </row>
    <row r="15">
      <c r="A15" s="7" t="str">
        <v>Rank 1</v>
      </c>
      <c r="B15" s="8" t="str">
        <v>SAN bundle reconciliation</v>
      </c>
      <c r="C15" s="9">
        <v>62636</v>
      </c>
      <c r="D15" s="9">
        <v>0</v>
      </c>
      <c r="E15" s="8" t="str">
        <v>100%</v>
      </c>
      <c r="F15" s="8" t="str">
        <v>CLIC ACCEPTED — 2026-09-22T07:58:17.037Z</v>
      </c>
    </row>
    <row r="17">
      <c r="A17" s="5" t="str">
        <v>7-ASPECT PHYSICAL INTEGRITY AUDIT</v>
      </c>
    </row>
    <row r="18">
      <c r="A18" s="6" t="str">
        <v>Aspect #</v>
      </c>
      <c r="B18" s="6" t="str">
        <v>Aspect Domain</v>
      </c>
      <c r="C18" s="6" t="str">
        <v>Validation Status</v>
      </c>
      <c r="D18" s="6" t="str">
        <v>Key Technical Rule / Evaluation Finding</v>
      </c>
    </row>
    <row r="19">
      <c r="A19" s="7" t="str">
        <v>Aspect 1</v>
      </c>
      <c r="B19" s="8" t="str">
        <v>SAN Licensed Port Capacity</v>
      </c>
      <c r="C19" s="8" t="str">
        <v>✅ PASS</v>
      </c>
      <c r="D19" s="8" t="str">
        <v>24 licensed ports / 24 physical ports.</v>
      </c>
    </row>
    <row r="20">
      <c r="A20" s="10" t="str">
        <v>Aspect 2</v>
      </c>
      <c r="B20" s="11" t="str">
        <v>Bundled Optics Billing</v>
      </c>
      <c r="C20" s="11" t="str">
        <v>⚠️ WARN</v>
      </c>
      <c r="D20" s="11" t="str">
        <v>24 included optics + 8 separately ordered optics; 8 beyond switch port demand. Spares and remote endpoints require separate allocation.</v>
      </c>
    </row>
    <row r="21">
      <c r="A21" s="7" t="str">
        <v>Aspect 3</v>
      </c>
      <c r="B21" s="8" t="str">
        <v>Catalog and Service Coverage</v>
      </c>
      <c r="C21" s="8" t="str">
        <v>✅ PASS</v>
      </c>
      <c r="D21" s="8" t="str">
        <v>Scoped hardware and product-qualified services verified; corrected candidate matches the complete live CLIC receipt.</v>
      </c>
    </row>
    <row r="22">
      <c r="A22" s="10" t="str">
        <v>Aspect 4</v>
      </c>
      <c r="B22" s="11" t="str">
        <v>Server Component Rules</v>
      </c>
      <c r="C22" s="11" t="str">
        <v>❌ FAIL</v>
      </c>
      <c r="D22" s="11" t="str">
        <v>Fixed SAN switch: no server CPU, DIMM, diskless kit, PCIe riser or redundant server PSU additions.</v>
      </c>
    </row>
    <row r="24">
      <c r="A24" s="5" t="str">
        <v>DUAL-BRAIN &amp; NOTEBOOKLM COMPREHENSIVE VERIFICATION AUDIT (ALL RANKS)</v>
      </c>
    </row>
    <row r="25">
      <c r="A25" s="6" t="str">
        <v>Rank Tier</v>
      </c>
      <c r="B25" s="6" t="str">
        <v>Strategy Name</v>
      </c>
      <c r="C25" s="6" t="str">
        <v>7-Aspect Physical Math</v>
      </c>
      <c r="D25" s="6" t="str">
        <v>Gemini NotebookLM Badge</v>
      </c>
      <c r="E25" s="6" t="str">
        <v>Agentic Guardrail Trace</v>
      </c>
      <c r="F25" s="6" t="str">
        <v>Multi-Agent / Codex Review</v>
      </c>
      <c r="G25" s="6" t="str">
        <v>Citations &amp; Grounding Reference</v>
      </c>
      <c r="H25" s="6" t="str">
        <v>Knowledge Delta Sync Status</v>
      </c>
    </row>
    <row r="26">
      <c r="A26" s="12" t="str">
        <v>Rank 1</v>
      </c>
      <c r="B26" s="13" t="str">
        <v>SAN bundle reconciliation</v>
      </c>
      <c r="C26" s="13" t="str">
        <v>LOCAL PHYSICAL CHECK PASSED</v>
      </c>
      <c r="D26" s="13" t="str">
        <v>CANDIDATE DOCUMENT REVIEW: PASS</v>
      </c>
      <c r="E26" s="13" t="str">
        <v>Remove standalone optics only where allocated to ports already supplied by base/upgrade bundles. Retain documented spares and remote-endpoint optics. Preserve the requested 24-port expansion.</v>
      </c>
      <c r="F26" s="13" t="str">
        <v>Ready for Automated Cross-Verification</v>
      </c>
      <c r="G26" s="13" t="str">
        <v>["[2, 3] HPE SN3600B 32Gb 24/8 switch (R7R97A) provides a 1U chassis with 24 physical SFP+ ports, 8 active ports enabled, and 8x 32Gb Short Wave SFP28 transceivers included in the base bundle.","[5, 6] HPE SN3600B 8-port upgrade license with transceiver kit (R7M09A) adds 8 licensed ports and 8x 32Gb SW SFP28 optics. Two kits expand licensed capacity to 24 ports and total optics to 24.","[7, 8] HPE Premier Flex LC/LC Multi-mode OM4 15m Cable (QK735A) uses LC connectors compatible with 32Gb SFP28 optics and supports 32Gb FC distances up to 100 meters.","[10, 11, 13] SN3600B architecture features an integrated single fixed AC power supply with 4 cooling fans and back-to-front airflow.","[1, 14, 15] HPE 3 Year Tech Care Basic wCDMR (HX2M2E) and HPE Installation Storage Switches Service (U5988E) are verified product-qualified services for switch model R7R97A."]</v>
      </c>
      <c r="H26" s="13" t="str">
        <v>✅ SYNCED (catalog_deltas &amp; master_registry)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8.83203125" customWidth="1"/>
    <col min="2" max="2" width="14.83203125" customWidth="1"/>
    <col min="3" max="3" width="15.83203125" customWidth="1"/>
    <col min="4" max="4" width="12.83203125" customWidth="1"/>
    <col min="5" max="5" width="45.83203125" customWidth="1"/>
    <col min="6" max="6" width="22.83203125" customWidth="1"/>
    <col min="7" max="7" width="18.83203125" customWidth="1"/>
    <col min="8" max="8" width="20.83203125" customWidth="1"/>
    <col min="9" max="9" width="45.83203125" customWidth="1"/>
    <col min="10" max="10" width="35.83203125" customWidth="1"/>
    <col min="11" max="11" width="55.83203125" customWidth="1"/>
    <col min="12" max="12" width="25.83203125" customWidth="1"/>
  </cols>
  <sheetData>
    <row r="1">
      <c r="A1" s="14" t="str">
        <v>HPE SOLUTION SPECIFICATION — RANK 1: SAN bundle reconciliation</v>
      </c>
    </row>
    <row r="2">
      <c r="A2" s="15" t="str">
        <v>Estimated CapEx: $62,636 | Alignment: 100% | Server Nodes: 1</v>
      </c>
    </row>
    <row r="3">
      <c r="A3" s="6" t="str">
        <v>Part No</v>
      </c>
      <c r="B3" s="6" t="str">
        <v>Per-Node Qty</v>
      </c>
      <c r="C3" s="6" t="str">
        <v>Node Multiplier</v>
      </c>
      <c r="D3" s="6" t="str">
        <v>Total Qty</v>
      </c>
      <c r="E3" s="6" t="str">
        <v>Description</v>
      </c>
      <c r="F3" s="6" t="str">
        <v>Component Role</v>
      </c>
      <c r="G3" s="6" t="str">
        <v>Unit Price (USD)</v>
      </c>
      <c r="H3" s="6" t="str">
        <v>Extended Price (USD)</v>
      </c>
      <c r="I3" s="6" t="str">
        <v>Physical Math &amp; Rule Engine Rationale</v>
      </c>
      <c r="J3" s="6" t="str">
        <v>Gemini NotebookLM Badge</v>
      </c>
      <c r="K3" s="6" t="str">
        <v>Agentic Guardrail &amp; Evals Trace</v>
      </c>
      <c r="L3" s="6" t="str">
        <v>CLIC Status / Rule Trace</v>
      </c>
    </row>
    <row r="4">
      <c r="A4" s="12" t="str">
        <v>R7R97A</v>
      </c>
      <c r="B4" s="16">
        <v>1</v>
      </c>
      <c r="C4" s="16">
        <v>1</v>
      </c>
      <c r="D4" s="16">
        <f>B4*C4</f>
        <v>1</v>
      </c>
      <c r="E4" s="13" t="str">
        <v>HPE SN3600B 32Gb 24/8 8-port 32Gb Short Wave SFP28 Fibre Channel Switch</v>
      </c>
      <c r="F4" s="13" t="str">
        <v>Standard Option</v>
      </c>
      <c r="G4" s="17">
        <v>19746</v>
      </c>
      <c r="H4" s="17">
        <f>D4*G4</f>
        <v>19746</v>
      </c>
      <c r="I4" s="13" t="str">
        <v>Customer specified baseline component</v>
      </c>
      <c r="J4" s="13" t="str">
        <v>CANDIDATE DOCUMENT REVIEW: PASS</v>
      </c>
      <c r="K4" s="13" t="str">
        <v>Remove standalone optics only where allocated to ports already supplied by base/upgrade bundles. Retain documented spares and remote-endpoint optics. Preserve the requested 24-port expansion.</v>
      </c>
      <c r="L4" s="13" t="str">
        <v>LOCAL_RULE_CHECKED; CLIC ACCEPTED — 2026-09-22T07:58:17.037Z</v>
      </c>
    </row>
    <row r="5">
      <c r="A5" s="18" t="str">
        <v>R7M09A</v>
      </c>
      <c r="B5" s="19">
        <v>2</v>
      </c>
      <c r="C5" s="19">
        <v>1</v>
      </c>
      <c r="D5" s="19">
        <f>B5*C5</f>
        <v>2</v>
      </c>
      <c r="E5" s="20" t="str">
        <v>HPE SN3600B 32Gb 8-port Short Wave SFP28 Fibre Channel Upgrade License with Transceiver Kit</v>
      </c>
      <c r="F5" s="20" t="str">
        <v>Standard Option</v>
      </c>
      <c r="G5" s="21">
        <v>19950</v>
      </c>
      <c r="H5" s="21">
        <f>D5*G5</f>
        <v>39900</v>
      </c>
      <c r="I5" s="20" t="str">
        <v>Customer specified baseline component</v>
      </c>
      <c r="J5" s="20" t="str">
        <v>CANDIDATE DOCUMENT REVIEW: PASS</v>
      </c>
      <c r="K5" s="20" t="str">
        <v>Remove standalone optics only where allocated to ports already supplied by base/upgrade bundles. Retain documented spares and remote-endpoint optics. Preserve the requested 24-port expansion.</v>
      </c>
      <c r="L5" s="20" t="str">
        <v>LOCAL_RULE_CHECKED; CLIC ACCEPTED — 2026-09-22T07:58:17.037Z</v>
      </c>
    </row>
    <row r="6">
      <c r="A6" s="12" t="str">
        <v>QK735A</v>
      </c>
      <c r="B6" s="16">
        <v>8</v>
      </c>
      <c r="C6" s="16">
        <v>1</v>
      </c>
      <c r="D6" s="16">
        <f>B6*C6</f>
        <v>8</v>
      </c>
      <c r="E6" s="13" t="str">
        <v>HPE Premier Flex LC/LC Multi-mode OM4 2 Fiber 15m Cable</v>
      </c>
      <c r="F6" s="13" t="str">
        <v>Standard Option</v>
      </c>
      <c r="G6" s="17">
        <v>195</v>
      </c>
      <c r="H6" s="17">
        <f>D6*G6</f>
        <v>1560</v>
      </c>
      <c r="I6" s="13" t="str">
        <v>Customer specified baseline component</v>
      </c>
      <c r="J6" s="13" t="str">
        <v>CANDIDATE DOCUMENT REVIEW: PASS</v>
      </c>
      <c r="K6" s="13" t="str">
        <v>Remove standalone optics only where allocated to ports already supplied by base/upgrade bundles. Retain documented spares and remote-endpoint optics. Preserve the requested 24-port expansion.</v>
      </c>
      <c r="L6" s="13" t="str">
        <v>LOCAL_RULE_CHECKED; CLIC ACCEPTED — 2026-09-22T07:58:17.037Z</v>
      </c>
    </row>
    <row r="7">
      <c r="A7" s="18" t="str">
        <v>HX2M2E</v>
      </c>
      <c r="B7" s="19">
        <v>1</v>
      </c>
      <c r="C7" s="19">
        <v>1</v>
      </c>
      <c r="D7" s="19">
        <f>B7*C7</f>
        <v>1</v>
      </c>
      <c r="E7" s="20" t="str">
        <v>HPE 3 Year Tech Care Basic wCDMR SN3600B 24/8 8p 32Gb SW SFP Switch Service</v>
      </c>
      <c r="F7" s="20" t="str">
        <v>Standard Option</v>
      </c>
      <c r="G7" s="21">
        <v>950</v>
      </c>
      <c r="H7" s="21">
        <f>D7*G7</f>
        <v>950</v>
      </c>
      <c r="I7" s="20" t="str">
        <v>Customer specified baseline component</v>
      </c>
      <c r="J7" s="20" t="str">
        <v>CANDIDATE DOCUMENT REVIEW: PASS</v>
      </c>
      <c r="K7" s="20" t="str">
        <v>Remove standalone optics only where allocated to ports already supplied by base/upgrade bundles. Retain documented spares and remote-endpoint optics. Preserve the requested 24-port expansion.</v>
      </c>
      <c r="L7" s="20" t="str">
        <v>LOCAL_RULE_CHECKED; CLIC ACCEPTED — 2026-09-22T07:58:17.037Z</v>
      </c>
    </row>
    <row r="8">
      <c r="A8" s="12" t="str">
        <v>U5988E</v>
      </c>
      <c r="B8" s="16">
        <v>1</v>
      </c>
      <c r="C8" s="16">
        <v>1</v>
      </c>
      <c r="D8" s="16">
        <f>B8*C8</f>
        <v>1</v>
      </c>
      <c r="E8" s="13" t="str">
        <v>HPE Installation Storage Switches Service</v>
      </c>
      <c r="F8" s="13" t="str">
        <v>Standard Option</v>
      </c>
      <c r="G8" s="17">
        <v>480</v>
      </c>
      <c r="H8" s="17">
        <f>D8*G8</f>
        <v>480</v>
      </c>
      <c r="I8" s="13" t="str">
        <v>Customer specified baseline component</v>
      </c>
      <c r="J8" s="13" t="str">
        <v>CANDIDATE DOCUMENT REVIEW: PASS</v>
      </c>
      <c r="K8" s="13" t="str">
        <v>Remove standalone optics only where allocated to ports already supplied by base/upgrade bundles. Retain documented spares and remote-endpoint optics. Preserve the requested 24-port expansion.</v>
      </c>
      <c r="L8" s="13" t="str">
        <v>LOCAL_RULE_CHECKED; CLIC ACCEPTED — 2026-09-22T07:58:17.037Z</v>
      </c>
    </row>
    <row r="9">
      <c r="A9" s="22" t="str">
        <v>SUBTOTAL / ESTIMATED CAPEX</v>
      </c>
      <c r="B9" s="23" t="str">
        <v/>
      </c>
      <c r="C9" s="23" t="str">
        <v/>
      </c>
      <c r="D9" s="23" t="str">
        <v/>
      </c>
      <c r="E9" s="23" t="str">
        <v/>
      </c>
      <c r="F9" s="23" t="str">
        <v/>
      </c>
      <c r="G9" s="24" t="str">
        <v/>
      </c>
      <c r="H9" s="24">
        <f>SUM(H4:H8)</f>
        <v>62636</v>
      </c>
      <c r="I9" s="23" t="str">
        <v>1 Node(s)</v>
      </c>
      <c r="J9" s="23" t="str">
        <v>CANDIDATE DOCUMENT REVIEW: PASS</v>
      </c>
      <c r="K9" s="23" t="str">
        <v>LOCAL_RULE_CHECKED</v>
      </c>
      <c r="L9" s="23" t="str">
        <v>CLIC ACCEPTED — 2026-09-22T07:58:17.037Z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 &amp; Aspects</vt:lpstr>
      <vt:lpstr>Rank 1 - SAN bundle reconcili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