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 &amp; Aspects" sheetId="1" r:id="rId1"/>
    <sheet name="Rank 1 - Customer Intent (Un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$#,##0.00"/>
    <numFmt numFmtId="166" formatCode="$#,##0.00"/>
  </numFmts>
  <fonts count="18" x14ac:knownFonts="1">
    <font>
      <sz val="11"/>
      <name val="Calibri"/>
    </font>
    <font>
      <sz val="11"/>
      <name val="Calibri"/>
    </font>
    <font>
      <sz val="12"/>
      <name val="Segoe UI"/>
      <b/>
      <color rgb="FFFFFF"/>
    </font>
    <font>
      <sz val="10"/>
      <name val="Segoe UI"/>
      <b/>
      <color rgb="FFFFFF"/>
    </font>
    <font>
      <sz val="11"/>
      <name val="Segoe UI"/>
      <b/>
      <color rgb="1E3E62"/>
    </font>
    <font>
      <sz val="10"/>
      <name val="Segoe UI"/>
      <b/>
      <color rgb="FFFFFF"/>
    </font>
    <font>
      <sz val="10"/>
      <name val="Segoe UI"/>
      <b/>
      <color rgb="000000"/>
    </font>
    <font>
      <sz val="10"/>
      <name val="Segoe UI"/>
      <color rgb="000000"/>
    </font>
    <font>
      <sz val="10"/>
      <name val="Segoe UI"/>
      <color rgb="000000"/>
    </font>
    <font>
      <sz val="10"/>
      <name val="Segoe UI"/>
      <b/>
      <color rgb="000000"/>
    </font>
    <font>
      <sz val="10"/>
      <name val="Segoe UI"/>
      <color rgb="000000"/>
    </font>
    <font>
      <sz val="9"/>
      <name val="Segoe UI"/>
      <b/>
      <color rgb="000000"/>
    </font>
    <font>
      <sz val="9"/>
      <name val="Segoe UI"/>
      <color rgb="000000"/>
    </font>
    <font>
      <sz val="11"/>
      <name val="Segoe UI"/>
      <b/>
      <color rgb="FFFFFF"/>
    </font>
    <font>
      <sz val="9"/>
      <name val="Segoe UI"/>
      <color rgb="FFFFFF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192C"/>
        <bgColor/>
      </patternFill>
    </fill>
    <fill>
      <patternFill patternType="solid">
        <fgColor rgb="FF1E3E62"/>
        <bgColor/>
      </patternFill>
    </fill>
    <fill>
      <patternFill patternType="solid">
        <fgColor rgb="FFF4F8F6"/>
        <bgColor/>
      </patternFill>
    </fill>
    <fill>
      <patternFill patternType="solid">
        <fgColor rgb="FF0B192C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0B192C"/>
        <bgColor/>
      </patternFill>
    </fill>
    <fill>
      <patternFill patternType="solid">
        <fgColor rgb="FF1E3E62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left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left" vertical="center" wrapText="true"/>
    </xf>
    <xf numFmtId="0" fontId="7" fillId="7" borderId="7" xfId="0" applyFont="1" applyFill="1" applyBorder="1" applyAlignment="1">
      <alignment horizontal="left" vertical="center" wrapText="true"/>
    </xf>
    <xf numFmtId="165" fontId="8" fillId="8" borderId="8" xfId="0" applyFont="1" applyFill="1" applyBorder="1" applyNumberFormat="1" applyAlignment="1">
      <alignment horizontal="right" vertical="center" wrapText="true"/>
    </xf>
    <xf numFmtId="0" fontId="9" fillId="9" borderId="9" xfId="0" applyFont="1" applyFill="1" applyBorder="1" applyAlignment="1">
      <alignment horizontal="left" vertical="center" wrapText="true"/>
    </xf>
    <xf numFmtId="0" fontId="10" fillId="10" borderId="10" xfId="0" applyFont="1" applyFill="1" applyBorder="1" applyAlignment="1">
      <alignment horizontal="left" vertical="center" wrapText="true"/>
    </xf>
    <xf numFmtId="0" fontId="11" fillId="11" borderId="11" xfId="0" applyFont="1" applyFill="1" applyBorder="1" applyAlignment="1">
      <alignment horizontal="left" vertical="center" wrapText="true"/>
    </xf>
    <xf numFmtId="0" fontId="12" fillId="12" borderId="12" xfId="0" applyFont="1" applyFill="1" applyBorder="1" applyAlignment="1">
      <alignment horizontal="left" vertical="center" wrapText="true"/>
    </xf>
    <xf numFmtId="0" fontId="13" fillId="13" borderId="13" xfId="0" applyFont="1" applyFill="1" applyBorder="1" applyAlignment="1">
      <alignment horizontal="center" vertical="center" wrapText="true"/>
    </xf>
    <xf numFmtId="0" fontId="14" fillId="14" borderId="14" xfId="0" applyFont="1" applyFill="1" applyBorder="1" applyAlignment="1">
      <alignment horizontal="left" vertical="center" wrapText="true"/>
    </xf>
    <xf numFmtId="0" fontId="15" fillId="15" borderId="15" xfId="0" applyFont="1" applyFill="1" applyBorder="1" applyAlignment="1">
      <alignment horizontal="left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166" fontId="17" fillId="17" borderId="17" xfId="0" applyFont="1" applyFill="1" applyBorder="1" applyNumberFormat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15.83203125" customWidth="1"/>
    <col min="2" max="2" width="35.83203125" customWidth="1"/>
    <col min="3" max="3" width="24.83203125" customWidth="1"/>
    <col min="4" max="4" width="32.83203125" customWidth="1"/>
    <col min="5" max="5" width="45.83203125" customWidth="1"/>
    <col min="6" max="6" width="35.83203125" customWidth="1"/>
    <col min="7" max="7" width="35.83203125" customWidth="1"/>
    <col min="8" max="8" width="32.83203125" customWidth="1"/>
  </cols>
  <sheetData>
    <row r="1">
      <c r="A1" s="3" t="str">
        <v>HPE PROLIANT AI STUDIO - MULTI-RANK SOLUTION WORKBOOK</v>
      </c>
    </row>
    <row r="2">
      <c r="A2" s="4" t="str">
        <v>Target Platform: DL380_Gen12 | Scope: 1 Server Node(s) | Evaluation draft; consult individual validation gates</v>
      </c>
    </row>
    <row r="4">
      <c r="A4" s="5" t="str">
        <v>SOLUTION METRICS &amp; EVALUATION STATUS</v>
      </c>
    </row>
    <row r="5">
      <c r="A5" s="2" t="str">
        <v>Target Server / Chassis</v>
      </c>
      <c r="B5" s="2" t="str">
        <v>DL380_Gen12</v>
      </c>
    </row>
    <row r="6">
      <c r="A6" s="2" t="str">
        <v>Total Server Nodes</v>
      </c>
      <c r="B6" s="2">
        <v>1</v>
      </c>
    </row>
    <row r="7">
      <c r="A7" s="2" t="str">
        <v>Overall Physical Build Status</v>
      </c>
      <c r="B7" s="2" t="str">
        <v>ACTION REQUIRED — UNVERIFIED OR PHYSICAL GAPS</v>
      </c>
    </row>
    <row r="8">
      <c r="A8" s="2" t="str">
        <v>Dual-Brain Verification Badge</v>
      </c>
      <c r="B8" s="2" t="str">
        <v>CANDIDATE REVIEW NOT VERIFIED</v>
      </c>
    </row>
    <row r="9">
      <c r="A9" s="2" t="str">
        <v>NotebookLM Knowledge Tier</v>
      </c>
      <c r="B9" s="2" t="str">
        <v>TIER_2_UNCITED_ADVISORY</v>
      </c>
    </row>
    <row r="10">
      <c r="A10" s="2" t="str">
        <v>QuickSpecs Citations Verified</v>
      </c>
      <c r="B10" s="2" t="str">
        <v>3 Authoritative Citations</v>
      </c>
    </row>
    <row r="11">
      <c r="A11" s="2" t="str">
        <v>Evaluation Timestamp</v>
      </c>
      <c r="B11" s="2" t="str">
        <v>2026-09-19T14:52:00.760Z</v>
      </c>
    </row>
    <row r="13">
      <c r="A13" s="5" t="str">
        <v>STRATEGY RESOLUTION MATRIX COMPARISON (5 TIERS)</v>
      </c>
    </row>
    <row r="14">
      <c r="A14" s="6" t="str">
        <v>Rank Tier</v>
      </c>
      <c r="B14" s="6" t="str">
        <v>Strategy Name</v>
      </c>
      <c r="C14" s="6" t="str">
        <v>Estimated CapEx (USD)</v>
      </c>
      <c r="D14" s="6" t="str">
        <v>Fix Delta (USD)</v>
      </c>
      <c r="E14" s="6" t="str">
        <v>Intent Alignment</v>
      </c>
      <c r="F14" s="6" t="str">
        <v>Buildability Status</v>
      </c>
    </row>
    <row r="15">
      <c r="A15" s="7" t="str">
        <v>Rank 1</v>
      </c>
      <c r="B15" s="8" t="str">
        <v>Customer Intent (Unresolved Physical Gaps - Draft)</v>
      </c>
      <c r="C15" s="9">
        <v>0</v>
      </c>
      <c r="D15" s="9">
        <v>0</v>
      </c>
      <c r="E15" s="8" t="str">
        <v>PENDING_RESOLUTION</v>
      </c>
      <c r="F15" s="8" t="str">
        <v>UNRESOLVED_PHYSICAL_GAPS</v>
      </c>
    </row>
    <row r="17">
      <c r="A17" s="5" t="str">
        <v>7-ASPECT PHYSICAL INTEGRITY AUDIT</v>
      </c>
    </row>
    <row r="18">
      <c r="A18" s="6" t="str">
        <v>Aspect #</v>
      </c>
      <c r="B18" s="6" t="str">
        <v>Aspect Domain</v>
      </c>
      <c r="C18" s="6" t="str">
        <v>Validation Status</v>
      </c>
      <c r="D18" s="6" t="str">
        <v>Key Technical Rule / Evaluation Finding</v>
      </c>
    </row>
    <row r="19">
      <c r="A19" s="7" t="str">
        <v>Aspect 1</v>
      </c>
      <c r="B19" s="8" t="str">
        <v>Thermal &amp; Compute Math</v>
      </c>
      <c r="C19" s="8" t="str">
        <v>✅ PASS</v>
      </c>
      <c r="D19" s="8" t="str">
        <v>Verified 2 CPUs (2/node) within TDP envelope with valid fan kit count.</v>
      </c>
    </row>
    <row r="20">
      <c r="A20" s="10" t="str">
        <v>Aspect 2</v>
      </c>
      <c r="B20" s="11" t="str">
        <v>Memory &amp; Channel Balance</v>
      </c>
      <c r="C20" s="11" t="str">
        <v>❌ FAIL</v>
      </c>
      <c r="D20" s="11" t="str">
        <v>Memory Option Rule Failed (CLIC Rule 91001655): Standalone BTO Memory SKU (P73300-B21) is restricted in CTO base server. Direct fix: Replace with FIO SKU (P73300-F21).</v>
      </c>
    </row>
    <row r="21">
      <c r="A21" s="7" t="str">
        <v>Aspect 3</v>
      </c>
      <c r="B21" s="8" t="str">
        <v>Storage &amp; Controller Cabling</v>
      </c>
      <c r="C21" s="8" t="str">
        <v>❌ FAIL</v>
      </c>
      <c r="D21" s="8" t="str">
        <v>Storage Math Failed: 0 drives requires No Drive Configuration FIO Kit.</v>
      </c>
    </row>
    <row r="22">
      <c r="A22" s="10" t="str">
        <v>Aspect 4</v>
      </c>
      <c r="B22" s="11" t="str">
        <v>PCIe Riser &amp; Slot Expansion Math</v>
      </c>
      <c r="C22" s="11" t="str">
        <v>✅ PASS</v>
      </c>
      <c r="D22" s="11" t="str">
        <v>Verified 0 PCIe cards fit within 3 active cabled slots (0 cards/node).</v>
      </c>
    </row>
    <row r="23">
      <c r="A23" s="7" t="str">
        <v>Aspect 5</v>
      </c>
      <c r="B23" s="8" t="str">
        <v>Networking &amp; OCP Interconnect</v>
      </c>
      <c r="C23" s="8" t="str">
        <v>✅ PASS</v>
      </c>
      <c r="D23" s="8" t="str">
        <v>Verified 0 active network ports (Standard PCIe/LOM NICs).</v>
      </c>
    </row>
    <row r="24">
      <c r="A24" s="10" t="str">
        <v>Aspect 6</v>
      </c>
      <c r="B24" s="11" t="str">
        <v>Power &amp; Redundancy Math</v>
      </c>
      <c r="C24" s="11" t="str">
        <v>✅ PASS</v>
      </c>
      <c r="D24" s="11" t="str">
        <v>Verified power supply and infrastructure dependencies (0 PSUs/node).</v>
      </c>
    </row>
    <row r="25">
      <c r="A25" s="7" t="str">
        <v>Aspect 7</v>
      </c>
      <c r="B25" s="8" t="str">
        <v>Vendor Support Taxonomy &amp; Licensing</v>
      </c>
      <c r="C25" s="8" t="str">
        <v>⚠️ WARN</v>
      </c>
      <c r="D25" s="8" t="str">
        <v>Support Taxonomy Advisory: Missing Pointnext / Tech Care service line.</v>
      </c>
    </row>
    <row r="27">
      <c r="A27" s="5" t="str">
        <v>DUAL-BRAIN &amp; NOTEBOOKLM COMPREHENSIVE VERIFICATION AUDIT (ALL RANKS)</v>
      </c>
    </row>
    <row r="28">
      <c r="A28" s="6" t="str">
        <v>Rank Tier</v>
      </c>
      <c r="B28" s="6" t="str">
        <v>Strategy Name</v>
      </c>
      <c r="C28" s="6" t="str">
        <v>7-Aspect Physical Math</v>
      </c>
      <c r="D28" s="6" t="str">
        <v>Gemini NotebookLM Badge</v>
      </c>
      <c r="E28" s="6" t="str">
        <v>Agentic Guardrail Trace</v>
      </c>
      <c r="F28" s="6" t="str">
        <v>Multi-Agent / Codex Review</v>
      </c>
      <c r="G28" s="6" t="str">
        <v>Citations &amp; Grounding Reference</v>
      </c>
      <c r="H28" s="6" t="str">
        <v>Knowledge Delta Sync Status</v>
      </c>
    </row>
    <row r="29">
      <c r="A29" s="12" t="str">
        <v>Rank 1</v>
      </c>
      <c r="B29" s="13" t="str">
        <v>Customer Intent (Unresolved Physical Gaps - Draft)</v>
      </c>
      <c r="C29" s="13" t="str">
        <v>UNVERIFIED OR ASPECT ISSUES</v>
      </c>
      <c r="D29" s="13" t="str">
        <v>CANDIDATE DOCUMENT REVIEW: UNVERIFIED</v>
      </c>
      <c r="E29" s="13" t="str">
        <v>Uncertified baseline configuration with pending physical requirements or conflicts.</v>
      </c>
      <c r="F29" s="13" t="str">
        <v>Ready for Automated Cross-Verification</v>
      </c>
      <c r="G29" s="13" t="str">
        <v>[]</v>
      </c>
      <c r="H29" s="13" t="str">
        <v>SYNC PENDING</v>
      </c>
    </row>
  </sheetData>
  <ignoredErrors>
    <ignoredError numberStoredAsText="1" sqref="A1:H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8.83203125" customWidth="1"/>
    <col min="2" max="2" width="14.83203125" customWidth="1"/>
    <col min="3" max="3" width="15.83203125" customWidth="1"/>
    <col min="4" max="4" width="12.83203125" customWidth="1"/>
    <col min="5" max="5" width="45.83203125" customWidth="1"/>
    <col min="6" max="6" width="22.83203125" customWidth="1"/>
    <col min="7" max="7" width="18.83203125" customWidth="1"/>
    <col min="8" max="8" width="20.83203125" customWidth="1"/>
    <col min="9" max="9" width="45.83203125" customWidth="1"/>
    <col min="10" max="10" width="35.83203125" customWidth="1"/>
    <col min="11" max="11" width="55.83203125" customWidth="1"/>
    <col min="12" max="12" width="25.83203125" customWidth="1"/>
  </cols>
  <sheetData>
    <row r="1">
      <c r="A1" s="14" t="str">
        <v>HPE SOLUTION SPECIFICATION — RANK 1: Customer Intent (Unresolved Physical Gaps - Draft)</v>
      </c>
    </row>
    <row r="2">
      <c r="A2" s="15" t="str">
        <v>Estimated CapEx: $6,556 | Alignment: PENDING_RESOLUTION | Server Nodes: 1</v>
      </c>
    </row>
    <row r="3">
      <c r="A3" s="6" t="str">
        <v>Part No</v>
      </c>
      <c r="B3" s="6" t="str">
        <v>Per-Node Qty</v>
      </c>
      <c r="C3" s="6" t="str">
        <v>Node Multiplier</v>
      </c>
      <c r="D3" s="6" t="str">
        <v>Total Qty</v>
      </c>
      <c r="E3" s="6" t="str">
        <v>Description</v>
      </c>
      <c r="F3" s="6" t="str">
        <v>Component Role</v>
      </c>
      <c r="G3" s="6" t="str">
        <v>Unit Price (USD)</v>
      </c>
      <c r="H3" s="6" t="str">
        <v>Extended Price (USD)</v>
      </c>
      <c r="I3" s="6" t="str">
        <v>Physical Math &amp; Rule Engine Rationale</v>
      </c>
      <c r="J3" s="6" t="str">
        <v>Gemini NotebookLM Badge</v>
      </c>
      <c r="K3" s="6" t="str">
        <v>Agentic Guardrail &amp; Evals Trace</v>
      </c>
      <c r="L3" s="6" t="str">
        <v>CLIC Status / Rule Trace</v>
      </c>
    </row>
    <row r="4">
      <c r="A4" s="16" t="str">
        <v>SUBTOTAL / ESTIMATED CAPEX</v>
      </c>
      <c r="B4" s="17" t="str">
        <v/>
      </c>
      <c r="C4" s="17" t="str">
        <v/>
      </c>
      <c r="D4" s="17" t="str">
        <v/>
      </c>
      <c r="E4" s="17" t="str">
        <v/>
      </c>
      <c r="F4" s="17" t="str">
        <v/>
      </c>
      <c r="G4" s="18" t="str">
        <v/>
      </c>
      <c r="H4" s="18">
        <f>SUM(H4:H3)</f>
        <v>0</v>
      </c>
      <c r="I4" s="17" t="str">
        <v>1 Node(s)</v>
      </c>
      <c r="J4" s="17" t="str">
        <v>CANDIDATE DOCUMENT REVIEW: UNVERIFIED</v>
      </c>
      <c r="K4" s="17" t="str">
        <v>UNVERIFIED</v>
      </c>
      <c r="L4" s="17" t="str">
        <v>PORTAL VALIDATION PENDING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 &amp; Aspects</vt:lpstr>
      <vt:lpstr>Rank 1 - Customer Intent (Unr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